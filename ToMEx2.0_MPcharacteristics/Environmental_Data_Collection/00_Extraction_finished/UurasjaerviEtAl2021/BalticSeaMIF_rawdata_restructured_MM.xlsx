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gdalenamair/Documents/Lena_Synology/PROJECT_ToMEx2.0Thresholds/ToMEx2.0_EcoToxRisk/ToMEx2.0_MPcharacteristics/Environmental_Data_Collection/00_Extraction_finished/UurasjaerviEtAl2021/"/>
    </mc:Choice>
  </mc:AlternateContent>
  <xr:revisionPtr revIDLastSave="0" documentId="13_ncr:1_{548A64F8-41B8-754C-B580-C55EEBC40FA2}" xr6:coauthVersionLast="47" xr6:coauthVersionMax="47" xr10:uidLastSave="{00000000-0000-0000-0000-000000000000}"/>
  <bookViews>
    <workbookView xWindow="28960" yWindow="-7620" windowWidth="50820" windowHeight="27120" activeTab="3" xr2:uid="{1E273433-2EC8-4C6F-A871-1542F226FDBA}"/>
  </bookViews>
  <sheets>
    <sheet name="Corrected concentrations" sheetId="3" r:id="rId1"/>
    <sheet name="Polymer types" sheetId="4" r:id="rId2"/>
    <sheet name="Particle sizes" sheetId="5" r:id="rId3"/>
    <sheet name="Raw data - samples" sheetId="1" r:id="rId4"/>
    <sheet name="Raw data - control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8" i="4" l="1"/>
  <c r="I56" i="4"/>
  <c r="H56" i="4"/>
  <c r="G56" i="4"/>
  <c r="K56" i="4" s="1"/>
  <c r="F56" i="4"/>
  <c r="I55" i="4"/>
  <c r="G55" i="4"/>
  <c r="K55" i="4" s="1"/>
  <c r="I54" i="4"/>
  <c r="G54" i="4"/>
  <c r="K54" i="4" s="1"/>
  <c r="F54" i="4"/>
  <c r="J53" i="4"/>
  <c r="I53" i="4"/>
  <c r="H53" i="4"/>
  <c r="G53" i="4"/>
  <c r="K53" i="4" s="1"/>
  <c r="I52" i="4"/>
  <c r="K52" i="4" s="1"/>
  <c r="H52" i="4"/>
  <c r="G52" i="4"/>
  <c r="H51" i="4"/>
  <c r="G51" i="4"/>
  <c r="K51" i="4" s="1"/>
  <c r="F51" i="4"/>
  <c r="K50" i="4"/>
  <c r="J50" i="4"/>
  <c r="I50" i="4"/>
  <c r="H50" i="4"/>
  <c r="G50" i="4"/>
  <c r="I49" i="4"/>
  <c r="H49" i="4"/>
  <c r="G49" i="4"/>
  <c r="K49" i="4" s="1"/>
  <c r="I48" i="4"/>
  <c r="H48" i="4"/>
  <c r="G48" i="4"/>
  <c r="H47" i="4"/>
  <c r="G47" i="4"/>
  <c r="K47" i="4" s="1"/>
  <c r="I46" i="4"/>
  <c r="K46" i="4" s="1"/>
  <c r="H46" i="4"/>
  <c r="G46" i="4"/>
  <c r="E46" i="4"/>
  <c r="I45" i="4"/>
  <c r="H45" i="4"/>
  <c r="G45" i="4"/>
  <c r="K45" i="4" s="1"/>
  <c r="K40" i="4"/>
  <c r="I40" i="4"/>
  <c r="H40" i="4"/>
  <c r="G40" i="4"/>
  <c r="F40" i="4"/>
  <c r="I39" i="4"/>
  <c r="G39" i="4"/>
  <c r="K39" i="4" s="1"/>
  <c r="K38" i="4"/>
  <c r="I38" i="4"/>
  <c r="G38" i="4"/>
  <c r="F38" i="4"/>
  <c r="J37" i="4"/>
  <c r="I37" i="4"/>
  <c r="H37" i="4"/>
  <c r="G37" i="4"/>
  <c r="K37" i="4" s="1"/>
  <c r="I36" i="4"/>
  <c r="H36" i="4"/>
  <c r="G36" i="4"/>
  <c r="K36" i="4" s="1"/>
  <c r="H35" i="4"/>
  <c r="G35" i="4"/>
  <c r="K35" i="4" s="1"/>
  <c r="F35" i="4"/>
  <c r="J34" i="4"/>
  <c r="I34" i="4"/>
  <c r="H34" i="4"/>
  <c r="G34" i="4"/>
  <c r="K34" i="4" s="1"/>
  <c r="I33" i="4"/>
  <c r="K33" i="4" s="1"/>
  <c r="H33" i="4"/>
  <c r="G33" i="4"/>
  <c r="I32" i="4"/>
  <c r="H32" i="4"/>
  <c r="G32" i="4"/>
  <c r="K32" i="4" s="1"/>
  <c r="H31" i="4"/>
  <c r="G31" i="4"/>
  <c r="K31" i="4" s="1"/>
  <c r="I30" i="4"/>
  <c r="H30" i="4"/>
  <c r="G30" i="4"/>
  <c r="K30" i="4" s="1"/>
  <c r="E30" i="4"/>
  <c r="I29" i="4"/>
  <c r="K29" i="4" s="1"/>
  <c r="H29" i="4"/>
  <c r="G29" i="4"/>
  <c r="G22" i="4"/>
  <c r="F22" i="4"/>
  <c r="E22" i="4"/>
  <c r="D22" i="4"/>
  <c r="C22" i="4"/>
  <c r="B22" i="4"/>
  <c r="H22" i="4" s="1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D37" i="3"/>
  <c r="B51" i="3"/>
  <c r="D50" i="3"/>
  <c r="D49" i="3"/>
  <c r="D48" i="3"/>
  <c r="D47" i="3"/>
  <c r="D46" i="3"/>
  <c r="D45" i="3"/>
  <c r="D44" i="3"/>
  <c r="D43" i="3"/>
  <c r="D42" i="3"/>
  <c r="D41" i="3"/>
  <c r="D40" i="3"/>
  <c r="D39" i="3"/>
  <c r="F51" i="3" s="1"/>
  <c r="B37" i="3"/>
  <c r="D36" i="3"/>
  <c r="D35" i="3"/>
  <c r="D34" i="3"/>
  <c r="D33" i="3"/>
  <c r="D32" i="3"/>
  <c r="J5" i="3"/>
  <c r="I5" i="3"/>
  <c r="J14" i="3"/>
  <c r="F37" i="3" l="1"/>
  <c r="D51" i="3"/>
  <c r="G26" i="3"/>
  <c r="G25" i="3"/>
  <c r="H19" i="3" s="1"/>
  <c r="J19" i="3" s="1"/>
  <c r="Q24" i="3"/>
  <c r="Q23" i="3"/>
  <c r="Q22" i="3"/>
  <c r="Q20" i="3"/>
  <c r="E20" i="3" s="1"/>
  <c r="I20" i="3"/>
  <c r="Q19" i="3"/>
  <c r="I19" i="3"/>
  <c r="Q18" i="3"/>
  <c r="E18" i="3" s="1"/>
  <c r="I18" i="3"/>
  <c r="Q17" i="3"/>
  <c r="E17" i="3" s="1"/>
  <c r="I17" i="3"/>
  <c r="Q16" i="3"/>
  <c r="I16" i="3"/>
  <c r="Q15" i="3"/>
  <c r="I15" i="3"/>
  <c r="E15" i="3"/>
  <c r="Q14" i="3"/>
  <c r="E14" i="3" s="1"/>
  <c r="I14" i="3"/>
  <c r="Q13" i="3"/>
  <c r="E13" i="3" s="1"/>
  <c r="I13" i="3"/>
  <c r="Q12" i="3"/>
  <c r="E12" i="3" s="1"/>
  <c r="I12" i="3"/>
  <c r="Q11" i="3"/>
  <c r="I11" i="3"/>
  <c r="Q10" i="3"/>
  <c r="E10" i="3" s="1"/>
  <c r="I10" i="3"/>
  <c r="Q9" i="3"/>
  <c r="E9" i="3" s="1"/>
  <c r="I9" i="3"/>
  <c r="T7" i="3"/>
  <c r="S7" i="3" s="1"/>
  <c r="I7" i="3" s="1"/>
  <c r="Q7" i="3"/>
  <c r="T6" i="3"/>
  <c r="S6" i="3" s="1"/>
  <c r="Q6" i="3"/>
  <c r="E6" i="3" s="1"/>
  <c r="T5" i="3"/>
  <c r="S5" i="3" s="1"/>
  <c r="Q5" i="3"/>
  <c r="T4" i="3"/>
  <c r="S4" i="3" s="1"/>
  <c r="I4" i="3" s="1"/>
  <c r="Q4" i="3"/>
  <c r="E4" i="3" s="1"/>
  <c r="T3" i="3"/>
  <c r="S3" i="3" s="1"/>
  <c r="I3" i="3" s="1"/>
  <c r="Q3" i="3"/>
  <c r="E3" i="3" s="1"/>
  <c r="H3" i="3" l="1"/>
  <c r="J3" i="3" s="1"/>
  <c r="E7" i="3"/>
  <c r="H6" i="3"/>
  <c r="Q26" i="3"/>
  <c r="E5" i="3"/>
  <c r="H5" i="3"/>
  <c r="H9" i="3"/>
  <c r="J9" i="3" s="1"/>
  <c r="H16" i="3"/>
  <c r="J16" i="3" s="1"/>
  <c r="H7" i="3"/>
  <c r="H11" i="3"/>
  <c r="J11" i="3" s="1"/>
  <c r="H17" i="3"/>
  <c r="J17" i="3" s="1"/>
  <c r="H12" i="3"/>
  <c r="J12" i="3" s="1"/>
  <c r="J6" i="3"/>
  <c r="H15" i="3"/>
  <c r="J15" i="3" s="1"/>
  <c r="H10" i="3"/>
  <c r="J10" i="3" s="1"/>
  <c r="H18" i="3"/>
  <c r="J18" i="3" s="1"/>
  <c r="H4" i="3"/>
  <c r="H13" i="3"/>
  <c r="J13" i="3" s="1"/>
  <c r="J7" i="3"/>
  <c r="Q25" i="3"/>
  <c r="R7" i="3" s="1"/>
  <c r="F7" i="3" s="1"/>
  <c r="H14" i="3"/>
  <c r="I6" i="3"/>
  <c r="J4" i="3"/>
  <c r="E16" i="3"/>
  <c r="E11" i="3"/>
  <c r="E19" i="3"/>
  <c r="H20" i="3"/>
  <c r="J20" i="3" s="1"/>
  <c r="R5" i="3" l="1"/>
  <c r="F5" i="3" s="1"/>
  <c r="R6" i="3"/>
  <c r="F6" i="3" s="1"/>
  <c r="R17" i="3"/>
  <c r="F17" i="3" s="1"/>
  <c r="R12" i="3"/>
  <c r="F12" i="3" s="1"/>
  <c r="R14" i="3"/>
  <c r="F14" i="3" s="1"/>
  <c r="R4" i="3"/>
  <c r="F4" i="3" s="1"/>
  <c r="R18" i="3"/>
  <c r="F18" i="3" s="1"/>
  <c r="R20" i="3"/>
  <c r="F20" i="3" s="1"/>
  <c r="R19" i="3"/>
  <c r="F19" i="3" s="1"/>
  <c r="R3" i="3"/>
  <c r="F3" i="3" s="1"/>
  <c r="R9" i="3"/>
  <c r="F9" i="3" s="1"/>
  <c r="R15" i="3"/>
  <c r="F15" i="3" s="1"/>
  <c r="R16" i="3"/>
  <c r="F16" i="3" s="1"/>
  <c r="R11" i="3"/>
  <c r="F11" i="3" s="1"/>
  <c r="R10" i="3"/>
  <c r="F10" i="3" s="1"/>
  <c r="R13" i="3"/>
  <c r="F13" i="3" s="1"/>
  <c r="M48" i="2" l="1"/>
  <c r="K48" i="2"/>
  <c r="J48" i="2"/>
  <c r="I48" i="2"/>
  <c r="H48" i="2"/>
  <c r="M47" i="2"/>
  <c r="K47" i="2"/>
  <c r="J47" i="2"/>
  <c r="I47" i="2"/>
  <c r="H47" i="2"/>
  <c r="M46" i="2"/>
  <c r="K46" i="2"/>
  <c r="J46" i="2"/>
  <c r="I46" i="2"/>
  <c r="H46" i="2"/>
  <c r="M45" i="2"/>
  <c r="K45" i="2"/>
  <c r="J45" i="2"/>
  <c r="I45" i="2"/>
  <c r="H45" i="2"/>
  <c r="M44" i="2"/>
  <c r="L44" i="2"/>
  <c r="K44" i="2"/>
  <c r="J44" i="2"/>
  <c r="I44" i="2"/>
  <c r="H44" i="2"/>
  <c r="G44" i="2"/>
  <c r="F44" i="2"/>
  <c r="E44" i="2"/>
  <c r="D44" i="2"/>
  <c r="C44" i="2"/>
  <c r="B44" i="2"/>
  <c r="Q40" i="2"/>
  <c r="R40" i="2" s="1"/>
  <c r="P39" i="2"/>
  <c r="P38" i="2"/>
  <c r="P37" i="2"/>
  <c r="P36" i="2"/>
  <c r="Q35" i="2"/>
  <c r="P35" i="2"/>
  <c r="Q34" i="2"/>
  <c r="P34" i="2"/>
  <c r="Q33" i="2"/>
  <c r="P33" i="2"/>
  <c r="P32" i="2"/>
  <c r="M30" i="2"/>
  <c r="K30" i="2"/>
  <c r="J30" i="2"/>
  <c r="I30" i="2"/>
  <c r="H30" i="2"/>
  <c r="M29" i="2"/>
  <c r="K29" i="2"/>
  <c r="J29" i="2"/>
  <c r="I29" i="2"/>
  <c r="H29" i="2"/>
  <c r="M28" i="2"/>
  <c r="K28" i="2"/>
  <c r="J28" i="2"/>
  <c r="I28" i="2"/>
  <c r="H28" i="2"/>
  <c r="M27" i="2"/>
  <c r="K27" i="2"/>
  <c r="J27" i="2"/>
  <c r="I27" i="2"/>
  <c r="H27" i="2"/>
  <c r="M26" i="2"/>
  <c r="L26" i="2"/>
  <c r="K26" i="2"/>
  <c r="J26" i="2"/>
  <c r="I26" i="2"/>
  <c r="H26" i="2"/>
  <c r="G26" i="2"/>
  <c r="F26" i="2"/>
  <c r="E26" i="2"/>
  <c r="D26" i="2"/>
  <c r="C26" i="2"/>
  <c r="B26" i="2"/>
  <c r="P24" i="2"/>
  <c r="P23" i="2"/>
  <c r="P22" i="2"/>
  <c r="P21" i="2"/>
  <c r="P20" i="2"/>
  <c r="Q19" i="2"/>
  <c r="Q25" i="2" s="1"/>
  <c r="R25" i="2" s="1"/>
  <c r="P19" i="2"/>
  <c r="P18" i="2"/>
  <c r="P17" i="2"/>
  <c r="M15" i="2"/>
  <c r="K15" i="2"/>
  <c r="J15" i="2"/>
  <c r="I15" i="2"/>
  <c r="H15" i="2"/>
  <c r="M14" i="2"/>
  <c r="K14" i="2"/>
  <c r="J14" i="2"/>
  <c r="I14" i="2"/>
  <c r="H14" i="2"/>
  <c r="M13" i="2"/>
  <c r="K13" i="2"/>
  <c r="J13" i="2"/>
  <c r="I13" i="2"/>
  <c r="H13" i="2"/>
  <c r="M12" i="2"/>
  <c r="K12" i="2"/>
  <c r="J12" i="2"/>
  <c r="I12" i="2"/>
  <c r="H12" i="2"/>
  <c r="M11" i="2"/>
  <c r="L11" i="2"/>
  <c r="K11" i="2"/>
  <c r="J11" i="2"/>
  <c r="I11" i="2"/>
  <c r="H11" i="2"/>
  <c r="G11" i="2"/>
  <c r="F11" i="2"/>
  <c r="E11" i="2"/>
  <c r="D11" i="2"/>
  <c r="C11" i="2"/>
  <c r="B11" i="2"/>
  <c r="Q10" i="2"/>
  <c r="R10" i="2" s="1"/>
  <c r="P9" i="2"/>
  <c r="P8" i="2"/>
  <c r="Q7" i="2"/>
  <c r="P7" i="2"/>
  <c r="P6" i="2"/>
  <c r="P5" i="2"/>
  <c r="P4" i="2"/>
  <c r="P3" i="2"/>
  <c r="P2" i="2"/>
</calcChain>
</file>

<file path=xl/sharedStrings.xml><?xml version="1.0" encoding="utf-8"?>
<sst xmlns="http://schemas.openxmlformats.org/spreadsheetml/2006/main" count="3347" uniqueCount="1346">
  <si>
    <t>N1/1</t>
  </si>
  <si>
    <t>MP identifier</t>
  </si>
  <si>
    <t>Coordinates [pixels]</t>
  </si>
  <si>
    <t>Coordinates [µm]</t>
  </si>
  <si>
    <t>Polymer group</t>
  </si>
  <si>
    <t>Number of pixels [-]</t>
  </si>
  <si>
    <t>Area on map [µm²]</t>
  </si>
  <si>
    <t>Major dimension [µm]</t>
  </si>
  <si>
    <t>Minor dimension [µm]</t>
  </si>
  <si>
    <t>Volume [µm³]</t>
  </si>
  <si>
    <t>Mass [ng]</t>
  </si>
  <si>
    <t>Comments</t>
  </si>
  <si>
    <t>MP_1</t>
  </si>
  <si>
    <t>[1569</t>
  </si>
  <si>
    <t>1197]</t>
  </si>
  <si>
    <t>[8630</t>
  </si>
  <si>
    <t>6584]</t>
  </si>
  <si>
    <t>pet</t>
  </si>
  <si>
    <t>abs</t>
  </si>
  <si>
    <t>MP_2</t>
  </si>
  <si>
    <t>[89</t>
  </si>
  <si>
    <t>1466]</t>
  </si>
  <si>
    <t>[490</t>
  </si>
  <si>
    <t>8063]</t>
  </si>
  <si>
    <t>pe</t>
  </si>
  <si>
    <t>pa</t>
  </si>
  <si>
    <t>MP_3</t>
  </si>
  <si>
    <t>[449</t>
  </si>
  <si>
    <t>1707]</t>
  </si>
  <si>
    <t>[2470</t>
  </si>
  <si>
    <t>9389]</t>
  </si>
  <si>
    <t>MP_4</t>
  </si>
  <si>
    <t>[549</t>
  </si>
  <si>
    <t>1138]</t>
  </si>
  <si>
    <t>[3020</t>
  </si>
  <si>
    <t>6259]</t>
  </si>
  <si>
    <t>MP_5</t>
  </si>
  <si>
    <t>[695</t>
  </si>
  <si>
    <t>534]</t>
  </si>
  <si>
    <t>[3823</t>
  </si>
  <si>
    <t>2937]</t>
  </si>
  <si>
    <t>pp</t>
  </si>
  <si>
    <t>MP_6</t>
  </si>
  <si>
    <t>[542</t>
  </si>
  <si>
    <t>1750]</t>
  </si>
  <si>
    <t>[2981</t>
  </si>
  <si>
    <t>9625]</t>
  </si>
  <si>
    <t>ps</t>
  </si>
  <si>
    <t>MP_7</t>
  </si>
  <si>
    <t>[580</t>
  </si>
  <si>
    <t>1736]</t>
  </si>
  <si>
    <t>[3190</t>
  </si>
  <si>
    <t>9548]</t>
  </si>
  <si>
    <t>pu</t>
  </si>
  <si>
    <t>N1/2</t>
  </si>
  <si>
    <t>pvc</t>
  </si>
  <si>
    <t>[662</t>
  </si>
  <si>
    <t>1962]</t>
  </si>
  <si>
    <t>[3641</t>
  </si>
  <si>
    <t>10791]</t>
  </si>
  <si>
    <t>[668</t>
  </si>
  <si>
    <t>1900]</t>
  </si>
  <si>
    <t>[3674</t>
  </si>
  <si>
    <t>10450]</t>
  </si>
  <si>
    <t>[1033</t>
  </si>
  <si>
    <t>1043]</t>
  </si>
  <si>
    <t>[5682</t>
  </si>
  <si>
    <t>5737]</t>
  </si>
  <si>
    <t>[1253</t>
  </si>
  <si>
    <t>1825]</t>
  </si>
  <si>
    <t>[6892</t>
  </si>
  <si>
    <t>10038]</t>
  </si>
  <si>
    <t>[1420</t>
  </si>
  <si>
    <t>563]</t>
  </si>
  <si>
    <t>[7810</t>
  </si>
  <si>
    <t>3097]</t>
  </si>
  <si>
    <t>[1434</t>
  </si>
  <si>
    <t>558]</t>
  </si>
  <si>
    <t>[7887</t>
  </si>
  <si>
    <t>3069]</t>
  </si>
  <si>
    <t>[1995</t>
  </si>
  <si>
    <t>1846]</t>
  </si>
  <si>
    <t>[10973</t>
  </si>
  <si>
    <t>10153]</t>
  </si>
  <si>
    <t>MP_8</t>
  </si>
  <si>
    <t>[834</t>
  </si>
  <si>
    <t>2020]</t>
  </si>
  <si>
    <t>[4587</t>
  </si>
  <si>
    <t>11110]</t>
  </si>
  <si>
    <t>MP_9</t>
  </si>
  <si>
    <t>[193</t>
  </si>
  <si>
    <t>1137]</t>
  </si>
  <si>
    <t>[1062</t>
  </si>
  <si>
    <t>6254]</t>
  </si>
  <si>
    <t>MP_10</t>
  </si>
  <si>
    <t>[2034</t>
  </si>
  <si>
    <t>1704]</t>
  </si>
  <si>
    <t>[11187</t>
  </si>
  <si>
    <t>9372]</t>
  </si>
  <si>
    <t>MP_11</t>
  </si>
  <si>
    <t>[924</t>
  </si>
  <si>
    <t>1730]</t>
  </si>
  <si>
    <t>[5082</t>
  </si>
  <si>
    <t>9515]</t>
  </si>
  <si>
    <t>MP_12</t>
  </si>
  <si>
    <t>[955</t>
  </si>
  <si>
    <t>1065]</t>
  </si>
  <si>
    <t>[5253</t>
  </si>
  <si>
    <t>5858]</t>
  </si>
  <si>
    <t>MP_13</t>
  </si>
  <si>
    <t>[1010</t>
  </si>
  <si>
    <t>1636]</t>
  </si>
  <si>
    <t>[5555</t>
  </si>
  <si>
    <t>8998]</t>
  </si>
  <si>
    <t>MP_14</t>
  </si>
  <si>
    <t>[998</t>
  </si>
  <si>
    <t>1749]</t>
  </si>
  <si>
    <t>[5489</t>
  </si>
  <si>
    <t>9620]</t>
  </si>
  <si>
    <t>MP_15</t>
  </si>
  <si>
    <t>[1123</t>
  </si>
  <si>
    <t>836]</t>
  </si>
  <si>
    <t>[6177</t>
  </si>
  <si>
    <t>4598]</t>
  </si>
  <si>
    <t>MP_16</t>
  </si>
  <si>
    <t>[1315</t>
  </si>
  <si>
    <t>2034]</t>
  </si>
  <si>
    <t>[7233</t>
  </si>
  <si>
    <t>11187]</t>
  </si>
  <si>
    <t>MP_17</t>
  </si>
  <si>
    <t>[1373</t>
  </si>
  <si>
    <t>1829]</t>
  </si>
  <si>
    <t>[7552</t>
  </si>
  <si>
    <t>10060]</t>
  </si>
  <si>
    <t>MP_18</t>
  </si>
  <si>
    <t>[1469</t>
  </si>
  <si>
    <t>122]</t>
  </si>
  <si>
    <t>[8080</t>
  </si>
  <si>
    <t>671]</t>
  </si>
  <si>
    <t>MP_19</t>
  </si>
  <si>
    <t>[1516</t>
  </si>
  <si>
    <t>117]</t>
  </si>
  <si>
    <t>[8338</t>
  </si>
  <si>
    <t>644]</t>
  </si>
  <si>
    <t>MP_20</t>
  </si>
  <si>
    <t>[1680</t>
  </si>
  <si>
    <t>2087]</t>
  </si>
  <si>
    <t>[9240</t>
  </si>
  <si>
    <t>11479]</t>
  </si>
  <si>
    <t>MP_21</t>
  </si>
  <si>
    <t>[1745</t>
  </si>
  <si>
    <t>839]</t>
  </si>
  <si>
    <t>[9598</t>
  </si>
  <si>
    <t>4615]</t>
  </si>
  <si>
    <t>MP_22</t>
  </si>
  <si>
    <t>[1013</t>
  </si>
  <si>
    <t>961]</t>
  </si>
  <si>
    <t>[5572</t>
  </si>
  <si>
    <t>5286]</t>
  </si>
  <si>
    <t>MP_23</t>
  </si>
  <si>
    <t>[1030</t>
  </si>
  <si>
    <t>950]</t>
  </si>
  <si>
    <t>[5665</t>
  </si>
  <si>
    <t>5225]</t>
  </si>
  <si>
    <t>N1</t>
  </si>
  <si>
    <t>N2/1</t>
  </si>
  <si>
    <t>1439]</t>
  </si>
  <si>
    <t>7915]</t>
  </si>
  <si>
    <t>[1110</t>
  </si>
  <si>
    <t>1467]</t>
  </si>
  <si>
    <t>[6105</t>
  </si>
  <si>
    <t>8069]</t>
  </si>
  <si>
    <t>[1241</t>
  </si>
  <si>
    <t>1022]</t>
  </si>
  <si>
    <t>[6826</t>
  </si>
  <si>
    <t>5621]</t>
  </si>
  <si>
    <t>[1299</t>
  </si>
  <si>
    <t>1062]</t>
  </si>
  <si>
    <t>[7145</t>
  </si>
  <si>
    <t>5841]</t>
  </si>
  <si>
    <t>[1330</t>
  </si>
  <si>
    <t>1109]</t>
  </si>
  <si>
    <t>[7315</t>
  </si>
  <si>
    <t>6100]</t>
  </si>
  <si>
    <t>[1540</t>
  </si>
  <si>
    <t>1444]</t>
  </si>
  <si>
    <t>[8470</t>
  </si>
  <si>
    <t>7942]</t>
  </si>
  <si>
    <t>[1670</t>
  </si>
  <si>
    <t>1386]</t>
  </si>
  <si>
    <t>[9185</t>
  </si>
  <si>
    <t>7623]</t>
  </si>
  <si>
    <t>[2095</t>
  </si>
  <si>
    <t>1330]</t>
  </si>
  <si>
    <t>[11523</t>
  </si>
  <si>
    <t>7315]</t>
  </si>
  <si>
    <t>[1798</t>
  </si>
  <si>
    <t>679]</t>
  </si>
  <si>
    <t>[9889</t>
  </si>
  <si>
    <t>3735]</t>
  </si>
  <si>
    <t>[2108</t>
  </si>
  <si>
    <t>1515]</t>
  </si>
  <si>
    <t>[11594</t>
  </si>
  <si>
    <t>8333]</t>
  </si>
  <si>
    <t>[1643</t>
  </si>
  <si>
    <t>1812]</t>
  </si>
  <si>
    <t>[9037</t>
  </si>
  <si>
    <t>9966]</t>
  </si>
  <si>
    <t>[1667</t>
  </si>
  <si>
    <t>1835]</t>
  </si>
  <si>
    <t>[9169</t>
  </si>
  <si>
    <t>10093]</t>
  </si>
  <si>
    <t>N2/2</t>
  </si>
  <si>
    <t>[832</t>
  </si>
  <si>
    <t>1500]</t>
  </si>
  <si>
    <t>[4576</t>
  </si>
  <si>
    <t>8250]</t>
  </si>
  <si>
    <t>[1426</t>
  </si>
  <si>
    <t>637]</t>
  </si>
  <si>
    <t>[7843</t>
  </si>
  <si>
    <t>3504]</t>
  </si>
  <si>
    <t>N2</t>
  </si>
  <si>
    <t>N3/1</t>
  </si>
  <si>
    <t>[725</t>
  </si>
  <si>
    <t>1304]</t>
  </si>
  <si>
    <t>[3988</t>
  </si>
  <si>
    <t>7172]</t>
  </si>
  <si>
    <t>[1159</t>
  </si>
  <si>
    <t>[6375</t>
  </si>
  <si>
    <t>[962</t>
  </si>
  <si>
    <t>1339]</t>
  </si>
  <si>
    <t>[5291</t>
  </si>
  <si>
    <t>7365]</t>
  </si>
  <si>
    <t>[616</t>
  </si>
  <si>
    <t>254]</t>
  </si>
  <si>
    <t>[3388</t>
  </si>
  <si>
    <t>1397]</t>
  </si>
  <si>
    <t>[624</t>
  </si>
  <si>
    <t>263]</t>
  </si>
  <si>
    <t>[3432</t>
  </si>
  <si>
    <t>1447]</t>
  </si>
  <si>
    <t>[1124</t>
  </si>
  <si>
    <t>1871]</t>
  </si>
  <si>
    <t>[6182</t>
  </si>
  <si>
    <t>10291]</t>
  </si>
  <si>
    <t>[1196</t>
  </si>
  <si>
    <t>1948]</t>
  </si>
  <si>
    <t>[6578</t>
  </si>
  <si>
    <t>10714]</t>
  </si>
  <si>
    <t>[1336</t>
  </si>
  <si>
    <t>1337]</t>
  </si>
  <si>
    <t>[7348</t>
  </si>
  <si>
    <t>7354]</t>
  </si>
  <si>
    <t>[1957</t>
  </si>
  <si>
    <t>973]</t>
  </si>
  <si>
    <t>[10764</t>
  </si>
  <si>
    <t>5352]</t>
  </si>
  <si>
    <t>[112</t>
  </si>
  <si>
    <t>823]</t>
  </si>
  <si>
    <t>4527]</t>
  </si>
  <si>
    <t>N3/2</t>
  </si>
  <si>
    <t>[982</t>
  </si>
  <si>
    <t>916]</t>
  </si>
  <si>
    <t>[5401</t>
  </si>
  <si>
    <t>5038]</t>
  </si>
  <si>
    <t>[1608</t>
  </si>
  <si>
    <t>2091]</t>
  </si>
  <si>
    <t>[8844</t>
  </si>
  <si>
    <t>11501]</t>
  </si>
  <si>
    <t>[144</t>
  </si>
  <si>
    <t>1785]</t>
  </si>
  <si>
    <t>[792</t>
  </si>
  <si>
    <t>9818]</t>
  </si>
  <si>
    <t>[2123</t>
  </si>
  <si>
    <t>566]</t>
  </si>
  <si>
    <t>[11677</t>
  </si>
  <si>
    <t>3113]</t>
  </si>
  <si>
    <t>[216</t>
  </si>
  <si>
    <t>1901]</t>
  </si>
  <si>
    <t>[1188</t>
  </si>
  <si>
    <t>10456]</t>
  </si>
  <si>
    <t>[839</t>
  </si>
  <si>
    <t>2136]</t>
  </si>
  <si>
    <t>[4615</t>
  </si>
  <si>
    <t>11748]</t>
  </si>
  <si>
    <t>[1244</t>
  </si>
  <si>
    <t>80]</t>
  </si>
  <si>
    <t>[6842</t>
  </si>
  <si>
    <t>440]</t>
  </si>
  <si>
    <t>N3</t>
  </si>
  <si>
    <t>N5/1</t>
  </si>
  <si>
    <t>[938</t>
  </si>
  <si>
    <t>1862]</t>
  </si>
  <si>
    <t>[5159</t>
  </si>
  <si>
    <t>10241]</t>
  </si>
  <si>
    <t>[974</t>
  </si>
  <si>
    <t>1860]</t>
  </si>
  <si>
    <t>[5357</t>
  </si>
  <si>
    <t>10230]</t>
  </si>
  <si>
    <t>[1055</t>
  </si>
  <si>
    <t>1838]</t>
  </si>
  <si>
    <t>[5803</t>
  </si>
  <si>
    <t>10109]</t>
  </si>
  <si>
    <t>[1655</t>
  </si>
  <si>
    <t>1629]</t>
  </si>
  <si>
    <t>[9103</t>
  </si>
  <si>
    <t>8960]</t>
  </si>
  <si>
    <t>[48</t>
  </si>
  <si>
    <t>1499]</t>
  </si>
  <si>
    <t>[264</t>
  </si>
  <si>
    <t>8245]</t>
  </si>
  <si>
    <t>[531</t>
  </si>
  <si>
    <t>2164]</t>
  </si>
  <si>
    <t>[2921</t>
  </si>
  <si>
    <t>11902]</t>
  </si>
  <si>
    <t>[810</t>
  </si>
  <si>
    <t>2171]</t>
  </si>
  <si>
    <t>[4455</t>
  </si>
  <si>
    <t>11941]</t>
  </si>
  <si>
    <t>N5/2</t>
  </si>
  <si>
    <t>[412</t>
  </si>
  <si>
    <t>746]</t>
  </si>
  <si>
    <t>[2266</t>
  </si>
  <si>
    <t>4103]</t>
  </si>
  <si>
    <t>[841</t>
  </si>
  <si>
    <t>689]</t>
  </si>
  <si>
    <t>[4626</t>
  </si>
  <si>
    <t>3790]</t>
  </si>
  <si>
    <t>[2145</t>
  </si>
  <si>
    <t>720]</t>
  </si>
  <si>
    <t>[11798</t>
  </si>
  <si>
    <t>3960]</t>
  </si>
  <si>
    <t>[960</t>
  </si>
  <si>
    <t>307]</t>
  </si>
  <si>
    <t>[5280</t>
  </si>
  <si>
    <t>1689]</t>
  </si>
  <si>
    <t>[513</t>
  </si>
  <si>
    <t>530]</t>
  </si>
  <si>
    <t>[2822</t>
  </si>
  <si>
    <t>2915]</t>
  </si>
  <si>
    <t>[1404</t>
  </si>
  <si>
    <t>232]</t>
  </si>
  <si>
    <t>[7722</t>
  </si>
  <si>
    <t>1276]</t>
  </si>
  <si>
    <t>[1646</t>
  </si>
  <si>
    <t>912]</t>
  </si>
  <si>
    <t>[9053</t>
  </si>
  <si>
    <t>5016]</t>
  </si>
  <si>
    <t>[682</t>
  </si>
  <si>
    <t>494]</t>
  </si>
  <si>
    <t>[3751</t>
  </si>
  <si>
    <t>2717]</t>
  </si>
  <si>
    <t>N5</t>
  </si>
  <si>
    <t>N6/1</t>
  </si>
  <si>
    <t>[1204</t>
  </si>
  <si>
    <t>127]</t>
  </si>
  <si>
    <t>[6622</t>
  </si>
  <si>
    <t>699]</t>
  </si>
  <si>
    <t>[666</t>
  </si>
  <si>
    <t>1685]</t>
  </si>
  <si>
    <t>[3663</t>
  </si>
  <si>
    <t>9268]</t>
  </si>
  <si>
    <t>N6/2</t>
  </si>
  <si>
    <t>[1157</t>
  </si>
  <si>
    <t>1743]</t>
  </si>
  <si>
    <t>[6364</t>
  </si>
  <si>
    <t>9587]</t>
  </si>
  <si>
    <t>[1155</t>
  </si>
  <si>
    <t>1300]</t>
  </si>
  <si>
    <t>[6353</t>
  </si>
  <si>
    <t>7150]</t>
  </si>
  <si>
    <t>[2220</t>
  </si>
  <si>
    <t>867]</t>
  </si>
  <si>
    <t>[12210</t>
  </si>
  <si>
    <t>4769]</t>
  </si>
  <si>
    <t>[1245</t>
  </si>
  <si>
    <t>1865]</t>
  </si>
  <si>
    <t>[6848</t>
  </si>
  <si>
    <t>10258]</t>
  </si>
  <si>
    <t>[1362</t>
  </si>
  <si>
    <t>844]</t>
  </si>
  <si>
    <t>[7491</t>
  </si>
  <si>
    <t>4642]</t>
  </si>
  <si>
    <t>[1976</t>
  </si>
  <si>
    <t>1588]</t>
  </si>
  <si>
    <t>[10868</t>
  </si>
  <si>
    <t>8734]</t>
  </si>
  <si>
    <t>N6</t>
  </si>
  <si>
    <t>N7/1</t>
  </si>
  <si>
    <t>[142</t>
  </si>
  <si>
    <t>691]</t>
  </si>
  <si>
    <t>[781</t>
  </si>
  <si>
    <t>3801]</t>
  </si>
  <si>
    <t>[323</t>
  </si>
  <si>
    <t>696]</t>
  </si>
  <si>
    <t>[1777</t>
  </si>
  <si>
    <t>3828]</t>
  </si>
  <si>
    <t>[345</t>
  </si>
  <si>
    <t>618]</t>
  </si>
  <si>
    <t>[1898</t>
  </si>
  <si>
    <t>3399]</t>
  </si>
  <si>
    <t>[386</t>
  </si>
  <si>
    <t>512]</t>
  </si>
  <si>
    <t>2816]</t>
  </si>
  <si>
    <t>[424</t>
  </si>
  <si>
    <t>490]</t>
  </si>
  <si>
    <t>[2332</t>
  </si>
  <si>
    <t>2695]</t>
  </si>
  <si>
    <t>[696</t>
  </si>
  <si>
    <t>2212]</t>
  </si>
  <si>
    <t>[3828</t>
  </si>
  <si>
    <t>12166]</t>
  </si>
  <si>
    <t>[1274</t>
  </si>
  <si>
    <t>1627]</t>
  </si>
  <si>
    <t>[7007</t>
  </si>
  <si>
    <t>8949]</t>
  </si>
  <si>
    <t>[1302</t>
  </si>
  <si>
    <t>1651]</t>
  </si>
  <si>
    <t>[7161</t>
  </si>
  <si>
    <t>9081]</t>
  </si>
  <si>
    <t>1678]</t>
  </si>
  <si>
    <t>9229]</t>
  </si>
  <si>
    <t>[1692</t>
  </si>
  <si>
    <t>753]</t>
  </si>
  <si>
    <t>[9306</t>
  </si>
  <si>
    <t>4142]</t>
  </si>
  <si>
    <t>[1712</t>
  </si>
  <si>
    <t>109]</t>
  </si>
  <si>
    <t>[9416</t>
  </si>
  <si>
    <t>600]</t>
  </si>
  <si>
    <t>[1731</t>
  </si>
  <si>
    <t>913]</t>
  </si>
  <si>
    <t>[9521</t>
  </si>
  <si>
    <t>5022]</t>
  </si>
  <si>
    <t>[1758</t>
  </si>
  <si>
    <t>895]</t>
  </si>
  <si>
    <t>[9669</t>
  </si>
  <si>
    <t>4923]</t>
  </si>
  <si>
    <t>[2286</t>
  </si>
  <si>
    <t>1285]</t>
  </si>
  <si>
    <t>[12573</t>
  </si>
  <si>
    <t>7068]</t>
  </si>
  <si>
    <t>[2284</t>
  </si>
  <si>
    <t>1172]</t>
  </si>
  <si>
    <t>[12562</t>
  </si>
  <si>
    <t>6446]</t>
  </si>
  <si>
    <t>[1251</t>
  </si>
  <si>
    <t>1622]</t>
  </si>
  <si>
    <t>[6881</t>
  </si>
  <si>
    <t>8921]</t>
  </si>
  <si>
    <t>[1317</t>
  </si>
  <si>
    <t>1673]</t>
  </si>
  <si>
    <t>[7244</t>
  </si>
  <si>
    <t>9202]</t>
  </si>
  <si>
    <t>[233</t>
  </si>
  <si>
    <t>655]</t>
  </si>
  <si>
    <t>[1282</t>
  </si>
  <si>
    <t>3603]</t>
  </si>
  <si>
    <t>[437</t>
  </si>
  <si>
    <t>1038]</t>
  </si>
  <si>
    <t>[2404</t>
  </si>
  <si>
    <t>5709]</t>
  </si>
  <si>
    <t>[655</t>
  </si>
  <si>
    <t>729]</t>
  </si>
  <si>
    <t>[3603</t>
  </si>
  <si>
    <t>4010]</t>
  </si>
  <si>
    <t>[1532</t>
  </si>
  <si>
    <t>1989]</t>
  </si>
  <si>
    <t>[8426</t>
  </si>
  <si>
    <t>10940]</t>
  </si>
  <si>
    <t>[1561</t>
  </si>
  <si>
    <t>159]</t>
  </si>
  <si>
    <t>[8586</t>
  </si>
  <si>
    <t>875]</t>
  </si>
  <si>
    <t>[1890</t>
  </si>
  <si>
    <t>309]</t>
  </si>
  <si>
    <t>[10395</t>
  </si>
  <si>
    <t>1700]</t>
  </si>
  <si>
    <t>MP_24</t>
  </si>
  <si>
    <t>[2057</t>
  </si>
  <si>
    <t>1640]</t>
  </si>
  <si>
    <t>[11314</t>
  </si>
  <si>
    <t>9020]</t>
  </si>
  <si>
    <t>MP_25</t>
  </si>
  <si>
    <t>[2146</t>
  </si>
  <si>
    <t>621]</t>
  </si>
  <si>
    <t>[11803</t>
  </si>
  <si>
    <t>3416]</t>
  </si>
  <si>
    <t>MP_26</t>
  </si>
  <si>
    <t>[732</t>
  </si>
  <si>
    <t>2240]</t>
  </si>
  <si>
    <t>[4026</t>
  </si>
  <si>
    <t>12320]</t>
  </si>
  <si>
    <t>MP_27</t>
  </si>
  <si>
    <t>[738</t>
  </si>
  <si>
    <t>2232]</t>
  </si>
  <si>
    <t>[4059</t>
  </si>
  <si>
    <t>12276]</t>
  </si>
  <si>
    <t>MP_28</t>
  </si>
  <si>
    <t>[1950</t>
  </si>
  <si>
    <t>[10725</t>
  </si>
  <si>
    <t>MP_29</t>
  </si>
  <si>
    <t>[214</t>
  </si>
  <si>
    <t>1071]</t>
  </si>
  <si>
    <t>[1177</t>
  </si>
  <si>
    <t>5891]</t>
  </si>
  <si>
    <t>MP_30</t>
  </si>
  <si>
    <t>[1121</t>
  </si>
  <si>
    <t>783]</t>
  </si>
  <si>
    <t>[6166</t>
  </si>
  <si>
    <t>4307]</t>
  </si>
  <si>
    <t>MP_31</t>
  </si>
  <si>
    <t>[1222</t>
  </si>
  <si>
    <t>1232]</t>
  </si>
  <si>
    <t>[6721</t>
  </si>
  <si>
    <t>6776]</t>
  </si>
  <si>
    <t>MP_32</t>
  </si>
  <si>
    <t>[1453</t>
  </si>
  <si>
    <t>1070]</t>
  </si>
  <si>
    <t>[7992</t>
  </si>
  <si>
    <t>5885]</t>
  </si>
  <si>
    <t>MP_33</t>
  </si>
  <si>
    <t>[2099</t>
  </si>
  <si>
    <t>456]</t>
  </si>
  <si>
    <t>[11545</t>
  </si>
  <si>
    <t>2508]</t>
  </si>
  <si>
    <t>MP_34</t>
  </si>
  <si>
    <t>[370</t>
  </si>
  <si>
    <t>932]</t>
  </si>
  <si>
    <t>[2035</t>
  </si>
  <si>
    <t>5126]</t>
  </si>
  <si>
    <t>MP_35</t>
  </si>
  <si>
    <t>[891</t>
  </si>
  <si>
    <t>1665]</t>
  </si>
  <si>
    <t>[4901</t>
  </si>
  <si>
    <t>9158]</t>
  </si>
  <si>
    <t>MP_36</t>
  </si>
  <si>
    <t>[2010</t>
  </si>
  <si>
    <t>428]</t>
  </si>
  <si>
    <t>[11055</t>
  </si>
  <si>
    <t>2354]</t>
  </si>
  <si>
    <t>MP_37</t>
  </si>
  <si>
    <t>[2161</t>
  </si>
  <si>
    <t>1072]</t>
  </si>
  <si>
    <t>[11886</t>
  </si>
  <si>
    <t>5896]</t>
  </si>
  <si>
    <t>MP_38</t>
  </si>
  <si>
    <t>[1249</t>
  </si>
  <si>
    <t>1809]</t>
  </si>
  <si>
    <t>[6870</t>
  </si>
  <si>
    <t>9950]</t>
  </si>
  <si>
    <t>MP_39</t>
  </si>
  <si>
    <t>[2183</t>
  </si>
  <si>
    <t>582]</t>
  </si>
  <si>
    <t>[12007</t>
  </si>
  <si>
    <t>3201]</t>
  </si>
  <si>
    <t>N7/2</t>
  </si>
  <si>
    <t>[273</t>
  </si>
  <si>
    <t>[1502</t>
  </si>
  <si>
    <t>[1887</t>
  </si>
  <si>
    <t>270]</t>
  </si>
  <si>
    <t>[10379</t>
  </si>
  <si>
    <t>1485]</t>
  </si>
  <si>
    <t>[1918</t>
  </si>
  <si>
    <t>[10549</t>
  </si>
  <si>
    <t>2420]</t>
  </si>
  <si>
    <t>[2209</t>
  </si>
  <si>
    <t>1462]</t>
  </si>
  <si>
    <t>[12150</t>
  </si>
  <si>
    <t>8041]</t>
  </si>
  <si>
    <t>[2215</t>
  </si>
  <si>
    <t>1715]</t>
  </si>
  <si>
    <t>[12183</t>
  </si>
  <si>
    <t>9433]</t>
  </si>
  <si>
    <t>[2149</t>
  </si>
  <si>
    <t>1482]</t>
  </si>
  <si>
    <t>[11820</t>
  </si>
  <si>
    <t>8151]</t>
  </si>
  <si>
    <t>1987]</t>
  </si>
  <si>
    <t>10929]</t>
  </si>
  <si>
    <t>[321</t>
  </si>
  <si>
    <t>1156]</t>
  </si>
  <si>
    <t>[1766</t>
  </si>
  <si>
    <t>6358]</t>
  </si>
  <si>
    <t>[720</t>
  </si>
  <si>
    <t>1281]</t>
  </si>
  <si>
    <t>[3960</t>
  </si>
  <si>
    <t>7046]</t>
  </si>
  <si>
    <t>[1660</t>
  </si>
  <si>
    <t>[9130</t>
  </si>
  <si>
    <t>[1768</t>
  </si>
  <si>
    <t>1420]</t>
  </si>
  <si>
    <t>[9724</t>
  </si>
  <si>
    <t>7810]</t>
  </si>
  <si>
    <t>[2205</t>
  </si>
  <si>
    <t>1255]</t>
  </si>
  <si>
    <t>[12128</t>
  </si>
  <si>
    <t>6903]</t>
  </si>
  <si>
    <t>[2206</t>
  </si>
  <si>
    <t>767]</t>
  </si>
  <si>
    <t>[12133</t>
  </si>
  <si>
    <t>4219]</t>
  </si>
  <si>
    <t>[1960</t>
  </si>
  <si>
    <t>1244]</t>
  </si>
  <si>
    <t>[10780</t>
  </si>
  <si>
    <t>6842]</t>
  </si>
  <si>
    <t>[2218</t>
  </si>
  <si>
    <t>2129]</t>
  </si>
  <si>
    <t>[12199</t>
  </si>
  <si>
    <t>11710]</t>
  </si>
  <si>
    <t>2260]</t>
  </si>
  <si>
    <t>12430]</t>
  </si>
  <si>
    <t>N7</t>
  </si>
  <si>
    <t>N8/1</t>
  </si>
  <si>
    <t>[1392</t>
  </si>
  <si>
    <t>388]</t>
  </si>
  <si>
    <t>[7656</t>
  </si>
  <si>
    <t>2134]</t>
  </si>
  <si>
    <t>[1500</t>
  </si>
  <si>
    <t>971]</t>
  </si>
  <si>
    <t>[8250</t>
  </si>
  <si>
    <t>5341]</t>
  </si>
  <si>
    <t>[888</t>
  </si>
  <si>
    <t>1029]</t>
  </si>
  <si>
    <t>[4884</t>
  </si>
  <si>
    <t>5660]</t>
  </si>
  <si>
    <t>[1058</t>
  </si>
  <si>
    <t>1266]</t>
  </si>
  <si>
    <t>[5819</t>
  </si>
  <si>
    <t>6963]</t>
  </si>
  <si>
    <t>[1577</t>
  </si>
  <si>
    <t>1884]</t>
  </si>
  <si>
    <t>[8674</t>
  </si>
  <si>
    <t>10362]</t>
  </si>
  <si>
    <t>211]</t>
  </si>
  <si>
    <t>1161]</t>
  </si>
  <si>
    <t>[1048</t>
  </si>
  <si>
    <t>1273]</t>
  </si>
  <si>
    <t>[5764</t>
  </si>
  <si>
    <t>7002]</t>
  </si>
  <si>
    <t>N8/2</t>
  </si>
  <si>
    <t>[1019</t>
  </si>
  <si>
    <t>2166]</t>
  </si>
  <si>
    <t>[5605</t>
  </si>
  <si>
    <t>11913]</t>
  </si>
  <si>
    <t>N8</t>
  </si>
  <si>
    <t>N9/1</t>
  </si>
  <si>
    <t>2010]</t>
  </si>
  <si>
    <t>11055]</t>
  </si>
  <si>
    <t>[413</t>
  </si>
  <si>
    <t>60]</t>
  </si>
  <si>
    <t>[2272</t>
  </si>
  <si>
    <t>330]</t>
  </si>
  <si>
    <t>[429</t>
  </si>
  <si>
    <t>61]</t>
  </si>
  <si>
    <t>[2360</t>
  </si>
  <si>
    <t>336]</t>
  </si>
  <si>
    <t>[433</t>
  </si>
  <si>
    <t>533]</t>
  </si>
  <si>
    <t>[2382</t>
  </si>
  <si>
    <t>2932]</t>
  </si>
  <si>
    <t>[471</t>
  </si>
  <si>
    <t>708]</t>
  </si>
  <si>
    <t>[2591</t>
  </si>
  <si>
    <t>3894]</t>
  </si>
  <si>
    <t>[575</t>
  </si>
  <si>
    <t>851]</t>
  </si>
  <si>
    <t>[3163</t>
  </si>
  <si>
    <t>4681]</t>
  </si>
  <si>
    <t>[697</t>
  </si>
  <si>
    <t>[3834</t>
  </si>
  <si>
    <t>[755</t>
  </si>
  <si>
    <t>1751]</t>
  </si>
  <si>
    <t>[4153</t>
  </si>
  <si>
    <t>9631]</t>
  </si>
  <si>
    <t>[833</t>
  </si>
  <si>
    <t>949]</t>
  </si>
  <si>
    <t>[4582</t>
  </si>
  <si>
    <t>5220]</t>
  </si>
  <si>
    <t>[857</t>
  </si>
  <si>
    <t>1608]</t>
  </si>
  <si>
    <t>[4714</t>
  </si>
  <si>
    <t>8844]</t>
  </si>
  <si>
    <t>[1095</t>
  </si>
  <si>
    <t>924]</t>
  </si>
  <si>
    <t>[6023</t>
  </si>
  <si>
    <t>5082]</t>
  </si>
  <si>
    <t>[1350</t>
  </si>
  <si>
    <t>24]</t>
  </si>
  <si>
    <t>[7425</t>
  </si>
  <si>
    <t>132]</t>
  </si>
  <si>
    <t>[1370</t>
  </si>
  <si>
    <t>166]</t>
  </si>
  <si>
    <t>[7535</t>
  </si>
  <si>
    <t>[1829</t>
  </si>
  <si>
    <t>2043]</t>
  </si>
  <si>
    <t>[10060</t>
  </si>
  <si>
    <t>11237]</t>
  </si>
  <si>
    <t>[1836</t>
  </si>
  <si>
    <t>2066]</t>
  </si>
  <si>
    <t>[10098</t>
  </si>
  <si>
    <t>11363]</t>
  </si>
  <si>
    <t>[1949</t>
  </si>
  <si>
    <t>329]</t>
  </si>
  <si>
    <t>[10720</t>
  </si>
  <si>
    <t>1810]</t>
  </si>
  <si>
    <t>[1973</t>
  </si>
  <si>
    <t>1236]</t>
  </si>
  <si>
    <t>[10852</t>
  </si>
  <si>
    <t>6798]</t>
  </si>
  <si>
    <t>601]</t>
  </si>
  <si>
    <t>3306]</t>
  </si>
  <si>
    <t>[1122</t>
  </si>
  <si>
    <t>702]</t>
  </si>
  <si>
    <t>[6171</t>
  </si>
  <si>
    <t>3861]</t>
  </si>
  <si>
    <t>N9/2</t>
  </si>
  <si>
    <t>941]</t>
  </si>
  <si>
    <t>5176]</t>
  </si>
  <si>
    <t>[188</t>
  </si>
  <si>
    <t>988]</t>
  </si>
  <si>
    <t>[1034</t>
  </si>
  <si>
    <t>5434]</t>
  </si>
  <si>
    <t>[2133</t>
  </si>
  <si>
    <t>1125]</t>
  </si>
  <si>
    <t>[11732</t>
  </si>
  <si>
    <t>6188]</t>
  </si>
  <si>
    <t>[75</t>
  </si>
  <si>
    <t>1491]</t>
  </si>
  <si>
    <t>8201]</t>
  </si>
  <si>
    <t>[82</t>
  </si>
  <si>
    <t>1498]</t>
  </si>
  <si>
    <t>[451</t>
  </si>
  <si>
    <t>8239]</t>
  </si>
  <si>
    <t>[442</t>
  </si>
  <si>
    <t>1824]</t>
  </si>
  <si>
    <t>[2431</t>
  </si>
  <si>
    <t>10032]</t>
  </si>
  <si>
    <t>226]</t>
  </si>
  <si>
    <t>[2695</t>
  </si>
  <si>
    <t>1243]</t>
  </si>
  <si>
    <t>[599</t>
  </si>
  <si>
    <t>1332]</t>
  </si>
  <si>
    <t>[3295</t>
  </si>
  <si>
    <t>7326]</t>
  </si>
  <si>
    <t>[782</t>
  </si>
  <si>
    <t>2120]</t>
  </si>
  <si>
    <t>[4301</t>
  </si>
  <si>
    <t>11660]</t>
  </si>
  <si>
    <t>[2031</t>
  </si>
  <si>
    <t>1461]</t>
  </si>
  <si>
    <t>[11171</t>
  </si>
  <si>
    <t>8036]</t>
  </si>
  <si>
    <t>N9</t>
  </si>
  <si>
    <t>N10/1</t>
  </si>
  <si>
    <t>[2106</t>
  </si>
  <si>
    <t>491]</t>
  </si>
  <si>
    <t>[11583</t>
  </si>
  <si>
    <t>2701]</t>
  </si>
  <si>
    <t>N10/2</t>
  </si>
  <si>
    <t>[1405</t>
  </si>
  <si>
    <t>[7728</t>
  </si>
  <si>
    <t>6386]</t>
  </si>
  <si>
    <t>[842</t>
  </si>
  <si>
    <t>1434]</t>
  </si>
  <si>
    <t>[4631</t>
  </si>
  <si>
    <t>7887]</t>
  </si>
  <si>
    <t>N10</t>
  </si>
  <si>
    <t>N11</t>
  </si>
  <si>
    <t>[751</t>
  </si>
  <si>
    <t>2151]</t>
  </si>
  <si>
    <t>[4131</t>
  </si>
  <si>
    <t>11831]</t>
  </si>
  <si>
    <t>[1081</t>
  </si>
  <si>
    <t>266]</t>
  </si>
  <si>
    <t>[5946</t>
  </si>
  <si>
    <t>1463]</t>
  </si>
  <si>
    <t>[1545</t>
  </si>
  <si>
    <t>1979]</t>
  </si>
  <si>
    <t>[8498</t>
  </si>
  <si>
    <t>10885]</t>
  </si>
  <si>
    <t>[859</t>
  </si>
  <si>
    <t>1702]</t>
  </si>
  <si>
    <t>[4725</t>
  </si>
  <si>
    <t>9361]</t>
  </si>
  <si>
    <t>821]</t>
  </si>
  <si>
    <t>4516]</t>
  </si>
  <si>
    <t>2033]</t>
  </si>
  <si>
    <t>11182]</t>
  </si>
  <si>
    <t>[1270</t>
  </si>
  <si>
    <t>1103]</t>
  </si>
  <si>
    <t>[6985</t>
  </si>
  <si>
    <t>6067]</t>
  </si>
  <si>
    <t>N12/1</t>
  </si>
  <si>
    <t>[1755</t>
  </si>
  <si>
    <t>516]</t>
  </si>
  <si>
    <t>[9653</t>
  </si>
  <si>
    <t>2838]</t>
  </si>
  <si>
    <t>[1154</t>
  </si>
  <si>
    <t>1128]</t>
  </si>
  <si>
    <t>[6347</t>
  </si>
  <si>
    <t>6204]</t>
  </si>
  <si>
    <t>[1186</t>
  </si>
  <si>
    <t>653]</t>
  </si>
  <si>
    <t>[6523</t>
  </si>
  <si>
    <t>3592]</t>
  </si>
  <si>
    <t>N12/2</t>
  </si>
  <si>
    <t>[886</t>
  </si>
  <si>
    <t>1647]</t>
  </si>
  <si>
    <t>[4873</t>
  </si>
  <si>
    <t>9059]</t>
  </si>
  <si>
    <t>[101</t>
  </si>
  <si>
    <t>2130]</t>
  </si>
  <si>
    <t>[556</t>
  </si>
  <si>
    <t>11715]</t>
  </si>
  <si>
    <t>N12</t>
  </si>
  <si>
    <t>N13</t>
  </si>
  <si>
    <t>[1403</t>
  </si>
  <si>
    <t>719]</t>
  </si>
  <si>
    <t>[7717</t>
  </si>
  <si>
    <t>3955]</t>
  </si>
  <si>
    <t>[380</t>
  </si>
  <si>
    <t>412]</t>
  </si>
  <si>
    <t>[2090</t>
  </si>
  <si>
    <t>2266]</t>
  </si>
  <si>
    <t>[394</t>
  </si>
  <si>
    <t>341]</t>
  </si>
  <si>
    <t>[2167</t>
  </si>
  <si>
    <t>1876]</t>
  </si>
  <si>
    <t>[408</t>
  </si>
  <si>
    <t>375]</t>
  </si>
  <si>
    <t>[2244</t>
  </si>
  <si>
    <t>2063]</t>
  </si>
  <si>
    <t>[932</t>
  </si>
  <si>
    <t>[5126</t>
  </si>
  <si>
    <t>[956</t>
  </si>
  <si>
    <t>1079]</t>
  </si>
  <si>
    <t>[5258</t>
  </si>
  <si>
    <t>5935]</t>
  </si>
  <si>
    <t>[1138</t>
  </si>
  <si>
    <t>1373]</t>
  </si>
  <si>
    <t>[6259</t>
  </si>
  <si>
    <t>7552]</t>
  </si>
  <si>
    <t>[973</t>
  </si>
  <si>
    <t>1985]</t>
  </si>
  <si>
    <t>[5352</t>
  </si>
  <si>
    <t>10918]</t>
  </si>
  <si>
    <t>N14</t>
  </si>
  <si>
    <t>[46</t>
  </si>
  <si>
    <t>1219]</t>
  </si>
  <si>
    <t>[253</t>
  </si>
  <si>
    <t>6705]</t>
  </si>
  <si>
    <t>[59</t>
  </si>
  <si>
    <t>1279]</t>
  </si>
  <si>
    <t>[325</t>
  </si>
  <si>
    <t>7035]</t>
  </si>
  <si>
    <t>[72</t>
  </si>
  <si>
    <t>[396</t>
  </si>
  <si>
    <t>[288</t>
  </si>
  <si>
    <t>1155]</t>
  </si>
  <si>
    <t>[1584</t>
  </si>
  <si>
    <t>6353]</t>
  </si>
  <si>
    <t>[313</t>
  </si>
  <si>
    <t>1506]</t>
  </si>
  <si>
    <t>[1722</t>
  </si>
  <si>
    <t>8283]</t>
  </si>
  <si>
    <t>[538</t>
  </si>
  <si>
    <t>2088]</t>
  </si>
  <si>
    <t>[2959</t>
  </si>
  <si>
    <t>11484]</t>
  </si>
  <si>
    <t>1891]</t>
  </si>
  <si>
    <t>10401]</t>
  </si>
  <si>
    <t>[643</t>
  </si>
  <si>
    <t>556]</t>
  </si>
  <si>
    <t>[3537</t>
  </si>
  <si>
    <t>3058]</t>
  </si>
  <si>
    <t>[795</t>
  </si>
  <si>
    <t>587]</t>
  </si>
  <si>
    <t>[4373</t>
  </si>
  <si>
    <t>3229]</t>
  </si>
  <si>
    <t>[875</t>
  </si>
  <si>
    <t>595]</t>
  </si>
  <si>
    <t>[4813</t>
  </si>
  <si>
    <t>3273]</t>
  </si>
  <si>
    <t>[880</t>
  </si>
  <si>
    <t>1126]</t>
  </si>
  <si>
    <t>[4840</t>
  </si>
  <si>
    <t>6193]</t>
  </si>
  <si>
    <t>[985</t>
  </si>
  <si>
    <t>[5418</t>
  </si>
  <si>
    <t>[1134</t>
  </si>
  <si>
    <t>454]</t>
  </si>
  <si>
    <t>[6237</t>
  </si>
  <si>
    <t>2497]</t>
  </si>
  <si>
    <t>[1151</t>
  </si>
  <si>
    <t>303]</t>
  </si>
  <si>
    <t>[6331</t>
  </si>
  <si>
    <t>1667]</t>
  </si>
  <si>
    <t>[1398</t>
  </si>
  <si>
    <t>539]</t>
  </si>
  <si>
    <t>[7689</t>
  </si>
  <si>
    <t>2965]</t>
  </si>
  <si>
    <t>[1407</t>
  </si>
  <si>
    <t>[7739</t>
  </si>
  <si>
    <t>[1436</t>
  </si>
  <si>
    <t>979]</t>
  </si>
  <si>
    <t>[7898</t>
  </si>
  <si>
    <t>5385]</t>
  </si>
  <si>
    <t>[1490</t>
  </si>
  <si>
    <t>1980]</t>
  </si>
  <si>
    <t>[8195</t>
  </si>
  <si>
    <t>10890]</t>
  </si>
  <si>
    <t>[1665</t>
  </si>
  <si>
    <t>202]</t>
  </si>
  <si>
    <t>[9158</t>
  </si>
  <si>
    <t>1111]</t>
  </si>
  <si>
    <t>[1790</t>
  </si>
  <si>
    <t>393]</t>
  </si>
  <si>
    <t>[9845</t>
  </si>
  <si>
    <t>2162]</t>
  </si>
  <si>
    <t>[1821</t>
  </si>
  <si>
    <t>452]</t>
  </si>
  <si>
    <t>[10016</t>
  </si>
  <si>
    <t>2486]</t>
  </si>
  <si>
    <t>599]</t>
  </si>
  <si>
    <t>3295]</t>
  </si>
  <si>
    <t>[1968</t>
  </si>
  <si>
    <t>760]</t>
  </si>
  <si>
    <t>[10824</t>
  </si>
  <si>
    <t>4180]</t>
  </si>
  <si>
    <t>[2004</t>
  </si>
  <si>
    <t>1068]</t>
  </si>
  <si>
    <t>[11022</t>
  </si>
  <si>
    <t>5874]</t>
  </si>
  <si>
    <t>1311]</t>
  </si>
  <si>
    <t>7211]</t>
  </si>
  <si>
    <t>[969</t>
  </si>
  <si>
    <t>[5330</t>
  </si>
  <si>
    <t>[1007</t>
  </si>
  <si>
    <t>1788]</t>
  </si>
  <si>
    <t>[5539</t>
  </si>
  <si>
    <t>9834]</t>
  </si>
  <si>
    <t>[363</t>
  </si>
  <si>
    <t>474]</t>
  </si>
  <si>
    <t>[1997</t>
  </si>
  <si>
    <t>2607]</t>
  </si>
  <si>
    <t>831]</t>
  </si>
  <si>
    <t>[2178</t>
  </si>
  <si>
    <t>4571]</t>
  </si>
  <si>
    <t>[438</t>
  </si>
  <si>
    <t>1430]</t>
  </si>
  <si>
    <t>[2409</t>
  </si>
  <si>
    <t>7865]</t>
  </si>
  <si>
    <t>[712</t>
  </si>
  <si>
    <t>688]</t>
  </si>
  <si>
    <t>[3916</t>
  </si>
  <si>
    <t>3784]</t>
  </si>
  <si>
    <t>[1146</t>
  </si>
  <si>
    <t>639]</t>
  </si>
  <si>
    <t>[6303</t>
  </si>
  <si>
    <t>3515]</t>
  </si>
  <si>
    <t>[1180</t>
  </si>
  <si>
    <t>972]</t>
  </si>
  <si>
    <t>[6490</t>
  </si>
  <si>
    <t>5346]</t>
  </si>
  <si>
    <t>[1280</t>
  </si>
  <si>
    <t>2114]</t>
  </si>
  <si>
    <t>[7040</t>
  </si>
  <si>
    <t>11627]</t>
  </si>
  <si>
    <t>[1408</t>
  </si>
  <si>
    <t>957]</t>
  </si>
  <si>
    <t>[7744</t>
  </si>
  <si>
    <t>5264]</t>
  </si>
  <si>
    <t>[1445</t>
  </si>
  <si>
    <t>1798]</t>
  </si>
  <si>
    <t>[7948</t>
  </si>
  <si>
    <t>9889]</t>
  </si>
  <si>
    <t>[1602</t>
  </si>
  <si>
    <t>1650]</t>
  </si>
  <si>
    <t>[8811</t>
  </si>
  <si>
    <t>9075]</t>
  </si>
  <si>
    <t>[1780</t>
  </si>
  <si>
    <t>1196]</t>
  </si>
  <si>
    <t>[9790</t>
  </si>
  <si>
    <t>6578]</t>
  </si>
  <si>
    <t>MP_40</t>
  </si>
  <si>
    <t>[1026</t>
  </si>
  <si>
    <t>1779]</t>
  </si>
  <si>
    <t>[5643</t>
  </si>
  <si>
    <t>9785]</t>
  </si>
  <si>
    <t>MP_41</t>
  </si>
  <si>
    <t>[1606</t>
  </si>
  <si>
    <t>1731]</t>
  </si>
  <si>
    <t>[8833</t>
  </si>
  <si>
    <t>9521]</t>
  </si>
  <si>
    <t>MP_42</t>
  </si>
  <si>
    <t>[2155</t>
  </si>
  <si>
    <t>828]</t>
  </si>
  <si>
    <t>[11853</t>
  </si>
  <si>
    <t>4554]</t>
  </si>
  <si>
    <t>MP_43</t>
  </si>
  <si>
    <t>[1234</t>
  </si>
  <si>
    <t>890]</t>
  </si>
  <si>
    <t>[6787</t>
  </si>
  <si>
    <t>4895]</t>
  </si>
  <si>
    <t>N15/1</t>
  </si>
  <si>
    <t>[256</t>
  </si>
  <si>
    <t>1915]</t>
  </si>
  <si>
    <t>10533]</t>
  </si>
  <si>
    <t>[869</t>
  </si>
  <si>
    <t>2153]</t>
  </si>
  <si>
    <t>[4780</t>
  </si>
  <si>
    <t>11842]</t>
  </si>
  <si>
    <t>[2142</t>
  </si>
  <si>
    <t>1118]</t>
  </si>
  <si>
    <t>[11781</t>
  </si>
  <si>
    <t>6149]</t>
  </si>
  <si>
    <t>1241]</t>
  </si>
  <si>
    <t>6826]</t>
  </si>
  <si>
    <t>[181</t>
  </si>
  <si>
    <t>1615]</t>
  </si>
  <si>
    <t>[996</t>
  </si>
  <si>
    <t>8883]</t>
  </si>
  <si>
    <t>[681</t>
  </si>
  <si>
    <t>320]</t>
  </si>
  <si>
    <t>[3746</t>
  </si>
  <si>
    <t>1760]</t>
  </si>
  <si>
    <t>[494</t>
  </si>
  <si>
    <t>2084]</t>
  </si>
  <si>
    <t>[2717</t>
  </si>
  <si>
    <t>11462]</t>
  </si>
  <si>
    <t>[688</t>
  </si>
  <si>
    <t>489]</t>
  </si>
  <si>
    <t>[3784</t>
  </si>
  <si>
    <t>2690]</t>
  </si>
  <si>
    <t>[1156</t>
  </si>
  <si>
    <t>733]</t>
  </si>
  <si>
    <t>[6358</t>
  </si>
  <si>
    <t>4032]</t>
  </si>
  <si>
    <t>[779</t>
  </si>
  <si>
    <t>[4285</t>
  </si>
  <si>
    <t>9169]</t>
  </si>
  <si>
    <t>N15/2</t>
  </si>
  <si>
    <t>[443</t>
  </si>
  <si>
    <t>1762]</t>
  </si>
  <si>
    <t>[2437</t>
  </si>
  <si>
    <t>9691]</t>
  </si>
  <si>
    <t>[1495</t>
  </si>
  <si>
    <t>121]</t>
  </si>
  <si>
    <t>[8223</t>
  </si>
  <si>
    <t>666]</t>
  </si>
  <si>
    <t>422]</t>
  </si>
  <si>
    <t>[5687</t>
  </si>
  <si>
    <t>2321]</t>
  </si>
  <si>
    <t>[1852</t>
  </si>
  <si>
    <t>1448]</t>
  </si>
  <si>
    <t>[10186</t>
  </si>
  <si>
    <t>7964]</t>
  </si>
  <si>
    <t>N15</t>
  </si>
  <si>
    <t>N16</t>
  </si>
  <si>
    <t>[1771</t>
  </si>
  <si>
    <t>937]</t>
  </si>
  <si>
    <t>[9741</t>
  </si>
  <si>
    <t>5154]</t>
  </si>
  <si>
    <t>[330</t>
  </si>
  <si>
    <t>1374]</t>
  </si>
  <si>
    <t>[1815</t>
  </si>
  <si>
    <t>7557]</t>
  </si>
  <si>
    <t>[855</t>
  </si>
  <si>
    <t>1840]</t>
  </si>
  <si>
    <t>[4703</t>
  </si>
  <si>
    <t>10120]</t>
  </si>
  <si>
    <t>[890</t>
  </si>
  <si>
    <t>1350]</t>
  </si>
  <si>
    <t>[4895</t>
  </si>
  <si>
    <t>7425]</t>
  </si>
  <si>
    <t>2138]</t>
  </si>
  <si>
    <t>11759]</t>
  </si>
  <si>
    <t>234]</t>
  </si>
  <si>
    <t>1287]</t>
  </si>
  <si>
    <t>1706]</t>
  </si>
  <si>
    <t>9383]</t>
  </si>
  <si>
    <t>[1636</t>
  </si>
  <si>
    <t>221]</t>
  </si>
  <si>
    <t>[8998</t>
  </si>
  <si>
    <t>1216]</t>
  </si>
  <si>
    <t>[1820</t>
  </si>
  <si>
    <t>1209]</t>
  </si>
  <si>
    <t>[10010</t>
  </si>
  <si>
    <t>6650]</t>
  </si>
  <si>
    <t>[730</t>
  </si>
  <si>
    <t>1598]</t>
  </si>
  <si>
    <t>[4015</t>
  </si>
  <si>
    <t>8789]</t>
  </si>
  <si>
    <t>290]</t>
  </si>
  <si>
    <t>1595]</t>
  </si>
  <si>
    <t>[703</t>
  </si>
  <si>
    <t>1992]</t>
  </si>
  <si>
    <t>[3867</t>
  </si>
  <si>
    <t>10956]</t>
  </si>
  <si>
    <t>N17/1</t>
  </si>
  <si>
    <t>[728</t>
  </si>
  <si>
    <t>1201]</t>
  </si>
  <si>
    <t>[4004</t>
  </si>
  <si>
    <t>6606]</t>
  </si>
  <si>
    <t>[1892</t>
  </si>
  <si>
    <t>737]</t>
  </si>
  <si>
    <t>[10406</t>
  </si>
  <si>
    <t>4054]</t>
  </si>
  <si>
    <t>N17/2</t>
  </si>
  <si>
    <t>[401</t>
  </si>
  <si>
    <t>509]</t>
  </si>
  <si>
    <t>2800]</t>
  </si>
  <si>
    <t>[1349</t>
  </si>
  <si>
    <t>567]</t>
  </si>
  <si>
    <t>[7420</t>
  </si>
  <si>
    <t>3119]</t>
  </si>
  <si>
    <t>[1969</t>
  </si>
  <si>
    <t>1896]</t>
  </si>
  <si>
    <t>[10830</t>
  </si>
  <si>
    <t>10428]</t>
  </si>
  <si>
    <t>1873]</t>
  </si>
  <si>
    <t>[9471</t>
  </si>
  <si>
    <t>10302]</t>
  </si>
  <si>
    <t>N17</t>
  </si>
  <si>
    <t>N18/1</t>
  </si>
  <si>
    <t>[1647</t>
  </si>
  <si>
    <t>718]</t>
  </si>
  <si>
    <t>[9059</t>
  </si>
  <si>
    <t>3949]</t>
  </si>
  <si>
    <t>[298</t>
  </si>
  <si>
    <t>614]</t>
  </si>
  <si>
    <t>[1639</t>
  </si>
  <si>
    <t>3377]</t>
  </si>
  <si>
    <t>[562</t>
  </si>
  <si>
    <t>362]</t>
  </si>
  <si>
    <t>[3091</t>
  </si>
  <si>
    <t>1991]</t>
  </si>
  <si>
    <t>[701</t>
  </si>
  <si>
    <t>[3856</t>
  </si>
  <si>
    <t>[1470</t>
  </si>
  <si>
    <t>1391]</t>
  </si>
  <si>
    <t>[8085</t>
  </si>
  <si>
    <t>7651]</t>
  </si>
  <si>
    <t>[2238</t>
  </si>
  <si>
    <t>963]</t>
  </si>
  <si>
    <t>[12309</t>
  </si>
  <si>
    <t>5297]</t>
  </si>
  <si>
    <t>N18/2</t>
  </si>
  <si>
    <t>[307</t>
  </si>
  <si>
    <t>1996]</t>
  </si>
  <si>
    <t>[1689</t>
  </si>
  <si>
    <t>10978]</t>
  </si>
  <si>
    <t>2121]</t>
  </si>
  <si>
    <t>11666]</t>
  </si>
  <si>
    <t>[1599</t>
  </si>
  <si>
    <t>1988]</t>
  </si>
  <si>
    <t>[8795</t>
  </si>
  <si>
    <t>10934]</t>
  </si>
  <si>
    <t>[461</t>
  </si>
  <si>
    <t>[2536</t>
  </si>
  <si>
    <t>[959</t>
  </si>
  <si>
    <t>1633]</t>
  </si>
  <si>
    <t>[5275</t>
  </si>
  <si>
    <t>8982]</t>
  </si>
  <si>
    <t>[1605</t>
  </si>
  <si>
    <t>[8828</t>
  </si>
  <si>
    <t>1842]</t>
  </si>
  <si>
    <t>10131]</t>
  </si>
  <si>
    <t>[711</t>
  </si>
  <si>
    <t>1569]</t>
  </si>
  <si>
    <t>[3911</t>
  </si>
  <si>
    <t>8630]</t>
  </si>
  <si>
    <t>[2033</t>
  </si>
  <si>
    <t>1775]</t>
  </si>
  <si>
    <t>[11182</t>
  </si>
  <si>
    <t>9763]</t>
  </si>
  <si>
    <t>[206</t>
  </si>
  <si>
    <t>1853]</t>
  </si>
  <si>
    <t>[1133</t>
  </si>
  <si>
    <t>10192]</t>
  </si>
  <si>
    <t>[410</t>
  </si>
  <si>
    <t>687]</t>
  </si>
  <si>
    <t>[2255</t>
  </si>
  <si>
    <t>3779]</t>
  </si>
  <si>
    <t>N18</t>
  </si>
  <si>
    <t>Average</t>
  </si>
  <si>
    <t>SD</t>
  </si>
  <si>
    <t>Smallest</t>
  </si>
  <si>
    <t>Largest</t>
  </si>
  <si>
    <t>n of polymers</t>
  </si>
  <si>
    <t>n</t>
  </si>
  <si>
    <t>BLANK4</t>
  </si>
  <si>
    <t>[1566</t>
  </si>
  <si>
    <t>[8613</t>
  </si>
  <si>
    <t>BLANK5</t>
  </si>
  <si>
    <t>[146</t>
  </si>
  <si>
    <t>[803</t>
  </si>
  <si>
    <t>BLANK6</t>
  </si>
  <si>
    <t>[1757</t>
  </si>
  <si>
    <t>2196]</t>
  </si>
  <si>
    <t>[9664</t>
  </si>
  <si>
    <t>12078]</t>
  </si>
  <si>
    <t>[246</t>
  </si>
  <si>
    <t>1642]</t>
  </si>
  <si>
    <t>[1353</t>
  </si>
  <si>
    <t>9031]</t>
  </si>
  <si>
    <t>[260</t>
  </si>
  <si>
    <t>1641]</t>
  </si>
  <si>
    <t>[1430</t>
  </si>
  <si>
    <t>9026]</t>
  </si>
  <si>
    <t>[1273</t>
  </si>
  <si>
    <t>631]</t>
  </si>
  <si>
    <t>[7002</t>
  </si>
  <si>
    <t>3471]</t>
  </si>
  <si>
    <t>[1284</t>
  </si>
  <si>
    <t>616]</t>
  </si>
  <si>
    <t>[7062</t>
  </si>
  <si>
    <t>3388]</t>
  </si>
  <si>
    <t>633]</t>
  </si>
  <si>
    <t>[7051</t>
  </si>
  <si>
    <t>3482]</t>
  </si>
  <si>
    <t>[1871</t>
  </si>
  <si>
    <t>405]</t>
  </si>
  <si>
    <t>[10291</t>
  </si>
  <si>
    <t>2228]</t>
  </si>
  <si>
    <t>584]</t>
  </si>
  <si>
    <t>3212]</t>
  </si>
  <si>
    <t>[1395</t>
  </si>
  <si>
    <t>1999]</t>
  </si>
  <si>
    <t>[7673</t>
  </si>
  <si>
    <t>10995]</t>
  </si>
  <si>
    <t>[1417</t>
  </si>
  <si>
    <t>2013]</t>
  </si>
  <si>
    <t>[7794</t>
  </si>
  <si>
    <t>11072]</t>
  </si>
  <si>
    <t>455]</t>
  </si>
  <si>
    <t>2503]</t>
  </si>
  <si>
    <t>Masses of polymers [ng]</t>
  </si>
  <si>
    <t>Major dimension [µm] (particle size)</t>
  </si>
  <si>
    <t>Mass [µg]</t>
  </si>
  <si>
    <t>SAMPLE</t>
  </si>
  <si>
    <t>Mass/volume</t>
  </si>
  <si>
    <t>Particle n</t>
  </si>
  <si>
    <t>Particles/volume</t>
  </si>
  <si>
    <t>Materials</t>
  </si>
  <si>
    <t>Sum</t>
  </si>
  <si>
    <t>Vol (L)</t>
  </si>
  <si>
    <t>WP2</t>
  </si>
  <si>
    <t>NAR2</t>
  </si>
  <si>
    <t>PE 15, PET 11, PP 4</t>
  </si>
  <si>
    <t>F62</t>
  </si>
  <si>
    <t>PE 1, PET 1, PP 1</t>
  </si>
  <si>
    <t>9F5</t>
  </si>
  <si>
    <t>PE 3, PET 9, PP 2</t>
  </si>
  <si>
    <t>Arus</t>
  </si>
  <si>
    <t>PE 6, PET 5, PP 6</t>
  </si>
  <si>
    <t>6P</t>
  </si>
  <si>
    <t>PA 1, PE 6, PET 4, PP 5, PS 1</t>
  </si>
  <si>
    <t>JUSSI</t>
  </si>
  <si>
    <t>ABS 1, PE 17, PET 23, PP 14</t>
  </si>
  <si>
    <t>PA 1, PE 6, PET 1</t>
  </si>
  <si>
    <t>PA 1, PE 4, PP 10</t>
  </si>
  <si>
    <t>PE 24, PET 4, PP 1</t>
  </si>
  <si>
    <t>PE 9, PET 1, PP 2, PS 1</t>
  </si>
  <si>
    <t>PE 5, PET 8, PP 2</t>
  </si>
  <si>
    <t>LL7</t>
  </si>
  <si>
    <t>PA 1, PE 3, PET 1, PP 3</t>
  </si>
  <si>
    <t>LL9</t>
  </si>
  <si>
    <t>PE 2, PET 1, PP 3, PS 1</t>
  </si>
  <si>
    <t>PE 1, PET 1, PP 3</t>
  </si>
  <si>
    <t>PE 7, PET 1</t>
  </si>
  <si>
    <t>PE 26, PP 17</t>
  </si>
  <si>
    <t>PE 2, PET 1, PP 3</t>
  </si>
  <si>
    <t>Sampler</t>
  </si>
  <si>
    <t>Station</t>
  </si>
  <si>
    <t>50-31</t>
  </si>
  <si>
    <t>Depth (m)</t>
  </si>
  <si>
    <t>75-20</t>
  </si>
  <si>
    <t>44-25</t>
  </si>
  <si>
    <t>25-18</t>
  </si>
  <si>
    <t>21-10</t>
  </si>
  <si>
    <t>UUS23</t>
  </si>
  <si>
    <t>Average blanks</t>
  </si>
  <si>
    <r>
      <t>Vol (m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)</t>
    </r>
  </si>
  <si>
    <t>µg/m3</t>
  </si>
  <si>
    <t>µg/L</t>
  </si>
  <si>
    <t>n/m3</t>
  </si>
  <si>
    <t>n/L</t>
  </si>
  <si>
    <t>Corrected</t>
  </si>
  <si>
    <t>Particles &gt;100 um</t>
  </si>
  <si>
    <t>V (L)</t>
  </si>
  <si>
    <t>c n/L</t>
  </si>
  <si>
    <t>Av</t>
  </si>
  <si>
    <t>Jussi</t>
  </si>
  <si>
    <t>UUS23/14</t>
  </si>
  <si>
    <t>F62/21</t>
  </si>
  <si>
    <t>LL7/22</t>
  </si>
  <si>
    <t>Arus26</t>
  </si>
  <si>
    <t>LL9/29</t>
  </si>
  <si>
    <t>9F5/45</t>
  </si>
  <si>
    <t>NAR2/51</t>
  </si>
  <si>
    <t>UUS23/54</t>
  </si>
  <si>
    <t>LL9/62</t>
  </si>
  <si>
    <t>F62/76</t>
  </si>
  <si>
    <t>LL7/80</t>
  </si>
  <si>
    <t>LL7/98</t>
  </si>
  <si>
    <t>Material distribution</t>
  </si>
  <si>
    <t>In all samples</t>
  </si>
  <si>
    <t>ABS</t>
  </si>
  <si>
    <t>PA</t>
  </si>
  <si>
    <t>PE</t>
  </si>
  <si>
    <t>PET</t>
  </si>
  <si>
    <t>PP</t>
  </si>
  <si>
    <t>PS</t>
  </si>
  <si>
    <t>SUM</t>
  </si>
  <si>
    <t>Particles/L</t>
  </si>
  <si>
    <t>Site</t>
  </si>
  <si>
    <t>Depth [m]</t>
  </si>
  <si>
    <t>Volume (L)</t>
  </si>
  <si>
    <t>Floating-%</t>
  </si>
  <si>
    <t>LÄNGDEN 14</t>
  </si>
  <si>
    <t>F62 21</t>
  </si>
  <si>
    <t>LL7 22</t>
  </si>
  <si>
    <t>Arus 26</t>
  </si>
  <si>
    <t>LL9 29</t>
  </si>
  <si>
    <t>9F5 45</t>
  </si>
  <si>
    <t>NAR2 51</t>
  </si>
  <si>
    <t>LÄNGDEN 54</t>
  </si>
  <si>
    <t>LL9 62</t>
  </si>
  <si>
    <t>F62 76</t>
  </si>
  <si>
    <t>LL7 80</t>
  </si>
  <si>
    <t>LL7 98</t>
  </si>
  <si>
    <t>ng/L</t>
  </si>
  <si>
    <t>Percentage of floating (less dense than water = PE and PP) MPs of all MPs in Jussi samples</t>
  </si>
  <si>
    <t>Site/Depth [m]</t>
  </si>
  <si>
    <r>
      <t xml:space="preserve">Particle size (major dimension) </t>
    </r>
    <r>
      <rPr>
        <sz val="11"/>
        <color theme="1"/>
        <rFont val="Calibri"/>
        <family val="2"/>
      </rPr>
      <t>μm</t>
    </r>
  </si>
  <si>
    <t>6P 21-10</t>
  </si>
  <si>
    <t>Arus 25-18</t>
  </si>
  <si>
    <t>9F5 44-25</t>
  </si>
  <si>
    <t>NAR2 50-31</t>
  </si>
  <si>
    <t>F62 75-20</t>
  </si>
  <si>
    <t>UUS23 14</t>
  </si>
  <si>
    <t>UUS23 54</t>
  </si>
  <si>
    <t>Sample_ID</t>
  </si>
  <si>
    <t>Sampling_Site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</si>
</sst>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0" fillId="0" borderId="2" xfId="0" applyNumberFormat="1" applyBorder="1"/>
    <xf numFmtId="164" fontId="0" fillId="0" borderId="0" xfId="0" applyNumberFormat="1"/>
    <xf numFmtId="164" fontId="0" fillId="0" borderId="9" xfId="0" applyNumberFormat="1" applyBorder="1"/>
    <xf numFmtId="165" fontId="0" fillId="0" borderId="0" xfId="0" applyNumberFormat="1"/>
    <xf numFmtId="16" fontId="0" fillId="0" borderId="0" xfId="0" quotePrefix="1" applyNumberFormat="1"/>
    <xf numFmtId="0" fontId="1" fillId="0" borderId="3" xfId="0" applyFont="1" applyBorder="1"/>
    <xf numFmtId="0" fontId="1" fillId="0" borderId="5" xfId="0" applyFont="1" applyBorder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3" fillId="2" borderId="9" xfId="0" applyFont="1" applyFill="1" applyBorder="1"/>
    <xf numFmtId="0" fontId="0" fillId="2" borderId="0" xfId="0" applyFill="1"/>
    <xf numFmtId="0" fontId="1" fillId="0" borderId="1" xfId="0" applyFont="1" applyBorder="1"/>
    <xf numFmtId="0" fontId="1" fillId="0" borderId="4" xfId="0" applyFont="1" applyBorder="1"/>
    <xf numFmtId="0" fontId="3" fillId="2" borderId="8" xfId="0" applyFont="1" applyFill="1" applyBorder="1"/>
    <xf numFmtId="164" fontId="0" fillId="0" borderId="4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16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1" fillId="0" borderId="12" xfId="0" applyFont="1" applyBorder="1"/>
    <xf numFmtId="164" fontId="0" fillId="0" borderId="12" xfId="0" applyNumberFormat="1" applyBorder="1"/>
    <xf numFmtId="164" fontId="0" fillId="0" borderId="13" xfId="0" applyNumberFormat="1" applyBorder="1"/>
    <xf numFmtId="0" fontId="0" fillId="0" borderId="13" xfId="0" applyBorder="1"/>
    <xf numFmtId="0" fontId="1" fillId="0" borderId="14" xfId="0" applyFont="1" applyBorder="1"/>
    <xf numFmtId="164" fontId="0" fillId="0" borderId="1" xfId="0" applyNumberFormat="1" applyBorder="1"/>
    <xf numFmtId="0" fontId="0" fillId="2" borderId="8" xfId="0" applyFill="1" applyBorder="1"/>
    <xf numFmtId="0" fontId="0" fillId="2" borderId="10" xfId="0" applyFill="1" applyBorder="1"/>
    <xf numFmtId="164" fontId="0" fillId="2" borderId="12" xfId="0" applyNumberFormat="1" applyFill="1" applyBorder="1"/>
    <xf numFmtId="164" fontId="0" fillId="2" borderId="14" xfId="0" applyNumberFormat="1" applyFill="1" applyBorder="1"/>
    <xf numFmtId="0" fontId="0" fillId="0" borderId="14" xfId="0" applyBorder="1"/>
    <xf numFmtId="0" fontId="4" fillId="0" borderId="0" xfId="0" applyFont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6" fillId="0" borderId="18" xfId="0" applyFont="1" applyBorder="1"/>
    <xf numFmtId="0" fontId="6" fillId="0" borderId="0" xfId="0" applyFont="1"/>
    <xf numFmtId="0" fontId="5" fillId="0" borderId="0" xfId="0" applyFont="1"/>
    <xf numFmtId="0" fontId="5" fillId="0" borderId="19" xfId="0" applyFont="1" applyBorder="1"/>
    <xf numFmtId="0" fontId="5" fillId="0" borderId="18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0" fillId="0" borderId="23" xfId="0" applyBorder="1"/>
    <xf numFmtId="0" fontId="0" fillId="0" borderId="24" xfId="0" applyBorder="1"/>
    <xf numFmtId="0" fontId="7" fillId="0" borderId="4" xfId="0" applyFont="1" applyBorder="1"/>
    <xf numFmtId="0" fontId="7" fillId="0" borderId="0" xfId="0" applyFont="1"/>
    <xf numFmtId="0" fontId="7" fillId="0" borderId="19" xfId="0" applyFont="1" applyBorder="1"/>
    <xf numFmtId="0" fontId="0" fillId="3" borderId="0" xfId="0" applyFill="1"/>
    <xf numFmtId="0" fontId="0" fillId="3" borderId="9" xfId="0" applyFill="1" applyBorder="1"/>
    <xf numFmtId="0" fontId="0" fillId="4" borderId="0" xfId="0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D1C5-572D-469F-AEED-9FF997FC5897}">
  <dimension ref="A1:T51"/>
  <sheetViews>
    <sheetView workbookViewId="0">
      <selection activeCell="G28" sqref="G28"/>
    </sheetView>
  </sheetViews>
  <sheetFormatPr baseColWidth="10" defaultColWidth="8.83203125" defaultRowHeight="15" x14ac:dyDescent="0.2"/>
  <cols>
    <col min="2" max="2" width="10" bestFit="1" customWidth="1"/>
    <col min="5" max="5" width="13.1640625" bestFit="1" customWidth="1"/>
    <col min="6" max="6" width="19.6640625" bestFit="1" customWidth="1"/>
    <col min="7" max="7" width="9.33203125" bestFit="1" customWidth="1"/>
    <col min="8" max="8" width="15.83203125" bestFit="1" customWidth="1"/>
    <col min="9" max="9" width="16.33203125" bestFit="1" customWidth="1"/>
    <col min="10" max="10" width="23" bestFit="1" customWidth="1"/>
    <col min="11" max="11" width="24.6640625" bestFit="1" customWidth="1"/>
    <col min="13" max="13" width="9.5" bestFit="1" customWidth="1"/>
    <col min="16" max="16" width="10.5" bestFit="1" customWidth="1"/>
    <col min="18" max="18" width="14.83203125" bestFit="1" customWidth="1"/>
  </cols>
  <sheetData>
    <row r="1" spans="1:20" x14ac:dyDescent="0.2">
      <c r="A1" s="25"/>
      <c r="B1" s="25"/>
      <c r="C1" s="18"/>
      <c r="D1" s="18"/>
      <c r="E1" s="18" t="s">
        <v>1242</v>
      </c>
      <c r="F1" s="20" t="s">
        <v>1289</v>
      </c>
      <c r="G1" s="18"/>
      <c r="H1" s="20"/>
      <c r="I1" s="18" t="s">
        <v>1244</v>
      </c>
      <c r="J1" s="21" t="s">
        <v>1289</v>
      </c>
      <c r="K1" s="20"/>
      <c r="L1" s="70" t="s">
        <v>1239</v>
      </c>
      <c r="M1" s="71"/>
      <c r="N1" s="71"/>
      <c r="O1" s="72"/>
      <c r="P1" s="20" t="s">
        <v>10</v>
      </c>
      <c r="Q1" s="20" t="s">
        <v>1240</v>
      </c>
      <c r="R1" s="20" t="s">
        <v>1240</v>
      </c>
      <c r="S1" s="18"/>
      <c r="T1" s="21"/>
    </row>
    <row r="2" spans="1:20" ht="18" thickBot="1" x14ac:dyDescent="0.25">
      <c r="A2" s="25" t="s">
        <v>1274</v>
      </c>
      <c r="B2" s="25" t="s">
        <v>1277</v>
      </c>
      <c r="C2" s="22" t="s">
        <v>1275</v>
      </c>
      <c r="D2" s="22" t="s">
        <v>1241</v>
      </c>
      <c r="E2" s="28" t="s">
        <v>1285</v>
      </c>
      <c r="F2" s="24" t="s">
        <v>1285</v>
      </c>
      <c r="G2" s="22" t="s">
        <v>1243</v>
      </c>
      <c r="H2" s="19" t="s">
        <v>1289</v>
      </c>
      <c r="I2" s="42" t="s">
        <v>1287</v>
      </c>
      <c r="J2" s="43" t="s">
        <v>1287</v>
      </c>
      <c r="K2" s="19" t="s">
        <v>1245</v>
      </c>
      <c r="L2" s="22" t="s">
        <v>1186</v>
      </c>
      <c r="M2" s="19" t="s">
        <v>1187</v>
      </c>
      <c r="N2" s="19" t="s">
        <v>1188</v>
      </c>
      <c r="O2" s="23" t="s">
        <v>1189</v>
      </c>
      <c r="P2" s="19" t="s">
        <v>1246</v>
      </c>
      <c r="Q2" s="19" t="s">
        <v>1246</v>
      </c>
      <c r="R2" s="19" t="s">
        <v>1289</v>
      </c>
      <c r="S2" s="22" t="s">
        <v>1284</v>
      </c>
      <c r="T2" s="23" t="s">
        <v>1247</v>
      </c>
    </row>
    <row r="3" spans="1:20" x14ac:dyDescent="0.2">
      <c r="A3" t="s">
        <v>1248</v>
      </c>
      <c r="B3" t="s">
        <v>1276</v>
      </c>
      <c r="C3" s="1" t="s">
        <v>1249</v>
      </c>
      <c r="D3" s="26" t="s">
        <v>164</v>
      </c>
      <c r="E3" s="41">
        <f>Q3/S3</f>
        <v>0.23316715963566631</v>
      </c>
      <c r="F3" s="30">
        <f>R3/S3</f>
        <v>0.22192772483221473</v>
      </c>
      <c r="G3" s="1">
        <v>30</v>
      </c>
      <c r="H3" s="11">
        <f>G3-$G$25</f>
        <v>25.666666666666668</v>
      </c>
      <c r="I3" s="29">
        <f>G3/S3</f>
        <v>1.4381591562799616</v>
      </c>
      <c r="J3" s="31">
        <f>H3/S3</f>
        <v>1.2304250559284118</v>
      </c>
      <c r="K3" s="2" t="s">
        <v>1250</v>
      </c>
      <c r="L3" s="41">
        <v>114.10999999999997</v>
      </c>
      <c r="M3" s="11">
        <v>145.9537446133763</v>
      </c>
      <c r="N3" s="2">
        <v>25.3</v>
      </c>
      <c r="O3" s="3">
        <v>648.5</v>
      </c>
      <c r="P3" s="11">
        <v>4863.8669499999996</v>
      </c>
      <c r="Q3" s="11">
        <f>P3/1000</f>
        <v>4.8638669499999994</v>
      </c>
      <c r="R3" s="11">
        <f>Q3-$Q$25</f>
        <v>4.6294123399999991</v>
      </c>
      <c r="S3" s="1">
        <f>T3/1000</f>
        <v>20.86</v>
      </c>
      <c r="T3" s="16">
        <f>20.86*1000</f>
        <v>20860</v>
      </c>
    </row>
    <row r="4" spans="1:20" x14ac:dyDescent="0.2">
      <c r="A4" t="s">
        <v>1248</v>
      </c>
      <c r="B4" t="s">
        <v>1278</v>
      </c>
      <c r="C4" s="4" t="s">
        <v>1251</v>
      </c>
      <c r="D4" s="27" t="s">
        <v>767</v>
      </c>
      <c r="E4" s="29">
        <f>Q4/S4</f>
        <v>2.8663053691275167E-3</v>
      </c>
      <c r="F4" s="31">
        <f>R4/S4</f>
        <v>-1.7616971969996056E-3</v>
      </c>
      <c r="G4" s="4">
        <v>3</v>
      </c>
      <c r="H4" s="12">
        <f>G4-$G$25</f>
        <v>-1.333333333333333</v>
      </c>
      <c r="I4" s="29">
        <f>G4/S4</f>
        <v>5.9218318199763129E-2</v>
      </c>
      <c r="J4" s="31">
        <f>H4/S4</f>
        <v>-2.6319252533228053E-2</v>
      </c>
      <c r="K4" t="s">
        <v>1252</v>
      </c>
      <c r="L4" s="29">
        <v>103.3</v>
      </c>
      <c r="M4" s="12">
        <v>48.382297037931856</v>
      </c>
      <c r="N4">
        <v>37.6</v>
      </c>
      <c r="O4" s="5">
        <v>152.69999999999999</v>
      </c>
      <c r="P4" s="12">
        <v>145.20702999999997</v>
      </c>
      <c r="Q4" s="12">
        <f>P4/1000</f>
        <v>0.14520702999999999</v>
      </c>
      <c r="R4" s="12">
        <f>Q4-$Q$25</f>
        <v>-8.9247580000000021E-2</v>
      </c>
      <c r="S4" s="4">
        <f>T4/1000</f>
        <v>50.66</v>
      </c>
      <c r="T4" s="17">
        <f>50.66*1000</f>
        <v>50660</v>
      </c>
    </row>
    <row r="5" spans="1:20" x14ac:dyDescent="0.2">
      <c r="A5" t="s">
        <v>1248</v>
      </c>
      <c r="B5" t="s">
        <v>1279</v>
      </c>
      <c r="C5" s="4" t="s">
        <v>1253</v>
      </c>
      <c r="D5" s="27" t="s">
        <v>221</v>
      </c>
      <c r="E5" s="29">
        <f>Q5/S5</f>
        <v>4.7631312919463098E-2</v>
      </c>
      <c r="F5" s="31">
        <f>R5/S5</f>
        <v>3.7796807466442962E-2</v>
      </c>
      <c r="G5" s="4">
        <v>14</v>
      </c>
      <c r="H5" s="12">
        <f>G5-$G$25</f>
        <v>9.6666666666666679</v>
      </c>
      <c r="I5" s="29">
        <f>G5/S5</f>
        <v>0.58724832214765099</v>
      </c>
      <c r="J5" s="31">
        <f>H5/S5</f>
        <v>0.40548098434004481</v>
      </c>
      <c r="K5" t="s">
        <v>1254</v>
      </c>
      <c r="L5" s="29">
        <v>121.21428571428574</v>
      </c>
      <c r="M5" s="12">
        <v>84.259902827440996</v>
      </c>
      <c r="N5">
        <v>39</v>
      </c>
      <c r="O5" s="5">
        <v>294.60000000000002</v>
      </c>
      <c r="P5" s="12">
        <v>1135.5305000000003</v>
      </c>
      <c r="Q5" s="12">
        <f t="shared" ref="Q5:Q24" si="0">P5/1000</f>
        <v>1.1355305000000002</v>
      </c>
      <c r="R5" s="12">
        <f>Q5-$Q$25</f>
        <v>0.90107589000000021</v>
      </c>
      <c r="S5" s="4">
        <f>T5/1000</f>
        <v>23.84</v>
      </c>
      <c r="T5" s="17">
        <f>23.84*1000</f>
        <v>23840</v>
      </c>
    </row>
    <row r="6" spans="1:20" x14ac:dyDescent="0.2">
      <c r="A6" t="s">
        <v>1248</v>
      </c>
      <c r="B6" t="s">
        <v>1280</v>
      </c>
      <c r="C6" s="4" t="s">
        <v>1255</v>
      </c>
      <c r="D6" s="27" t="s">
        <v>289</v>
      </c>
      <c r="E6" s="29">
        <f>Q6/S6</f>
        <v>0.7964728200826019</v>
      </c>
      <c r="F6" s="31">
        <f>R6/S6</f>
        <v>0.76621280330407837</v>
      </c>
      <c r="G6" s="4">
        <v>17</v>
      </c>
      <c r="H6" s="12">
        <f>G6-$G$25</f>
        <v>12.666666666666668</v>
      </c>
      <c r="I6" s="29">
        <f>G6/S6</f>
        <v>2.1941146102219928</v>
      </c>
      <c r="J6" s="31">
        <f>H6/S6</f>
        <v>1.6348304938908966</v>
      </c>
      <c r="K6" t="s">
        <v>1256</v>
      </c>
      <c r="L6" s="29">
        <v>158.34117647058824</v>
      </c>
      <c r="M6" s="12">
        <v>154.12814782367656</v>
      </c>
      <c r="N6">
        <v>30.1</v>
      </c>
      <c r="O6" s="5">
        <v>723.6</v>
      </c>
      <c r="P6" s="12">
        <v>6171.0714099999996</v>
      </c>
      <c r="Q6" s="12">
        <f t="shared" si="0"/>
        <v>6.1710714099999997</v>
      </c>
      <c r="R6" s="12">
        <f>Q6-$Q$25</f>
        <v>5.9366167999999995</v>
      </c>
      <c r="S6" s="4">
        <f t="shared" ref="S6" si="1">T6/1000</f>
        <v>7.7480000000000002</v>
      </c>
      <c r="T6" s="17">
        <f>7.748*1000</f>
        <v>7748</v>
      </c>
    </row>
    <row r="7" spans="1:20" ht="16" thickBot="1" x14ac:dyDescent="0.25">
      <c r="A7" t="s">
        <v>1248</v>
      </c>
      <c r="B7" s="15" t="s">
        <v>1281</v>
      </c>
      <c r="C7" s="4" t="s">
        <v>1257</v>
      </c>
      <c r="D7" s="27" t="s">
        <v>1185</v>
      </c>
      <c r="E7" s="32">
        <f>Q7/S7</f>
        <v>0.18106178833247291</v>
      </c>
      <c r="F7" s="33">
        <f>R7/S7</f>
        <v>0.15685377490965413</v>
      </c>
      <c r="G7" s="4">
        <v>17</v>
      </c>
      <c r="H7" s="12">
        <f>G7-$G$25</f>
        <v>12.666666666666668</v>
      </c>
      <c r="I7" s="29">
        <f>G7/S7</f>
        <v>1.7552916881775942</v>
      </c>
      <c r="J7" s="31">
        <f>H7/S7</f>
        <v>1.3078643951127173</v>
      </c>
      <c r="K7" t="s">
        <v>1258</v>
      </c>
      <c r="L7" s="29">
        <v>123.34705882352942</v>
      </c>
      <c r="M7" s="12">
        <v>141.30469005849011</v>
      </c>
      <c r="N7">
        <v>30.1</v>
      </c>
      <c r="O7" s="5">
        <v>640.20000000000005</v>
      </c>
      <c r="P7" s="12">
        <v>1753.5834200000002</v>
      </c>
      <c r="Q7" s="12">
        <f t="shared" si="0"/>
        <v>1.7535834200000002</v>
      </c>
      <c r="R7" s="12">
        <f>Q7-$Q$25</f>
        <v>1.5191288100000002</v>
      </c>
      <c r="S7" s="4">
        <f>T7/1000</f>
        <v>9.6850000000000005</v>
      </c>
      <c r="T7" s="17">
        <f>9.685*1000</f>
        <v>9685</v>
      </c>
    </row>
    <row r="8" spans="1:20" ht="16" thickBot="1" x14ac:dyDescent="0.25">
      <c r="B8" s="15"/>
      <c r="C8" s="35"/>
      <c r="D8" s="36"/>
      <c r="E8" s="28" t="s">
        <v>1286</v>
      </c>
      <c r="F8" s="28" t="s">
        <v>1286</v>
      </c>
      <c r="G8" s="35"/>
      <c r="H8" s="38"/>
      <c r="I8" s="44" t="s">
        <v>1288</v>
      </c>
      <c r="J8" s="45" t="s">
        <v>1288</v>
      </c>
      <c r="K8" s="39"/>
      <c r="L8" s="37"/>
      <c r="M8" s="38"/>
      <c r="N8" s="39"/>
      <c r="O8" s="46"/>
      <c r="P8" s="38"/>
      <c r="Q8" s="38"/>
      <c r="R8" s="38"/>
      <c r="S8" s="35"/>
      <c r="T8" s="40"/>
    </row>
    <row r="9" spans="1:20" x14ac:dyDescent="0.2">
      <c r="A9" t="s">
        <v>1259</v>
      </c>
      <c r="B9">
        <v>21</v>
      </c>
      <c r="C9" s="4" t="s">
        <v>1251</v>
      </c>
      <c r="D9" s="27" t="s">
        <v>612</v>
      </c>
      <c r="E9" s="29">
        <f t="shared" ref="E9:E20" si="2">Q9/T9</f>
        <v>0.11326365166666667</v>
      </c>
      <c r="F9" s="12">
        <f t="shared" ref="F9:F20" si="3">R9/T9</f>
        <v>0.10544849800000002</v>
      </c>
      <c r="G9" s="4">
        <v>55</v>
      </c>
      <c r="H9" s="12">
        <f t="shared" ref="H9:H20" si="4">G9-$G$25</f>
        <v>50.666666666666664</v>
      </c>
      <c r="I9" s="29">
        <f t="shared" ref="I9:I20" si="5">G9/T9</f>
        <v>1.8333333333333333</v>
      </c>
      <c r="J9" s="31">
        <f t="shared" ref="J9:J20" si="6">H9/T9</f>
        <v>1.6888888888888889</v>
      </c>
      <c r="K9" t="s">
        <v>1260</v>
      </c>
      <c r="L9" s="29">
        <v>98.36</v>
      </c>
      <c r="M9" s="12">
        <v>81.406130213661626</v>
      </c>
      <c r="N9">
        <v>17.8</v>
      </c>
      <c r="O9" s="5">
        <v>376.7</v>
      </c>
      <c r="P9" s="12">
        <v>3397.9095499999999</v>
      </c>
      <c r="Q9" s="12">
        <f t="shared" si="0"/>
        <v>3.3979095500000001</v>
      </c>
      <c r="R9" s="12">
        <f t="shared" ref="R9:R20" si="7">Q9-$Q$25</f>
        <v>3.1634549400000003</v>
      </c>
      <c r="S9" s="4"/>
      <c r="T9" s="5">
        <v>30</v>
      </c>
    </row>
    <row r="10" spans="1:20" x14ac:dyDescent="0.2">
      <c r="A10" t="s">
        <v>1259</v>
      </c>
      <c r="B10">
        <v>51</v>
      </c>
      <c r="C10" s="4" t="s">
        <v>1249</v>
      </c>
      <c r="D10" s="27" t="s">
        <v>645</v>
      </c>
      <c r="E10" s="29">
        <f t="shared" si="2"/>
        <v>7.028627E-3</v>
      </c>
      <c r="F10" s="12">
        <f t="shared" si="3"/>
        <v>-7.8652666666666671E-4</v>
      </c>
      <c r="G10" s="4">
        <v>8</v>
      </c>
      <c r="H10" s="12">
        <f t="shared" si="4"/>
        <v>3.666666666666667</v>
      </c>
      <c r="I10" s="29">
        <f t="shared" si="5"/>
        <v>0.26666666666666666</v>
      </c>
      <c r="J10" s="31">
        <f t="shared" si="6"/>
        <v>0.12222222222222223</v>
      </c>
      <c r="K10" t="s">
        <v>1261</v>
      </c>
      <c r="L10" s="29">
        <v>73.412499999999994</v>
      </c>
      <c r="M10" s="12">
        <v>46.022424900802449</v>
      </c>
      <c r="N10">
        <v>22.9</v>
      </c>
      <c r="O10" s="5">
        <v>178.6</v>
      </c>
      <c r="P10" s="12">
        <v>210.85881000000001</v>
      </c>
      <c r="Q10" s="12">
        <f t="shared" si="0"/>
        <v>0.21085881000000001</v>
      </c>
      <c r="R10" s="12">
        <f t="shared" si="7"/>
        <v>-2.35958E-2</v>
      </c>
      <c r="S10" s="4"/>
      <c r="T10" s="5">
        <v>30</v>
      </c>
    </row>
    <row r="11" spans="1:20" x14ac:dyDescent="0.2">
      <c r="A11" t="s">
        <v>1259</v>
      </c>
      <c r="B11">
        <v>76</v>
      </c>
      <c r="C11" s="4" t="s">
        <v>1251</v>
      </c>
      <c r="D11" s="27" t="s">
        <v>1058</v>
      </c>
      <c r="E11" s="29">
        <f t="shared" si="2"/>
        <v>0.78275343533333341</v>
      </c>
      <c r="F11" s="12">
        <f t="shared" si="3"/>
        <v>0.77493828166666678</v>
      </c>
      <c r="G11" s="4">
        <v>15</v>
      </c>
      <c r="H11" s="12">
        <f t="shared" si="4"/>
        <v>10.666666666666668</v>
      </c>
      <c r="I11" s="29">
        <f t="shared" si="5"/>
        <v>0.5</v>
      </c>
      <c r="J11" s="31">
        <f t="shared" si="6"/>
        <v>0.35555555555555557</v>
      </c>
      <c r="K11" t="s">
        <v>1262</v>
      </c>
      <c r="L11" s="29">
        <v>717.20666666666671</v>
      </c>
      <c r="M11" s="12">
        <v>2053.34881026635</v>
      </c>
      <c r="N11">
        <v>30.1</v>
      </c>
      <c r="O11" s="5">
        <v>8385.9</v>
      </c>
      <c r="P11" s="12">
        <v>23482.603060000001</v>
      </c>
      <c r="Q11" s="12">
        <f t="shared" si="0"/>
        <v>23.482603060000002</v>
      </c>
      <c r="R11" s="12">
        <f t="shared" si="7"/>
        <v>23.248148450000002</v>
      </c>
      <c r="S11" s="4"/>
      <c r="T11" s="5">
        <v>30</v>
      </c>
    </row>
    <row r="12" spans="1:20" x14ac:dyDescent="0.2">
      <c r="A12" t="s">
        <v>1259</v>
      </c>
      <c r="B12">
        <v>26</v>
      </c>
      <c r="C12" s="4" t="s">
        <v>1255</v>
      </c>
      <c r="D12" s="27" t="s">
        <v>753</v>
      </c>
      <c r="E12" s="29">
        <f t="shared" si="2"/>
        <v>2.4753202000000005E-2</v>
      </c>
      <c r="F12" s="12">
        <f t="shared" si="3"/>
        <v>1.6938048333333337E-2</v>
      </c>
      <c r="G12" s="4">
        <v>29</v>
      </c>
      <c r="H12" s="12">
        <f t="shared" si="4"/>
        <v>24.666666666666668</v>
      </c>
      <c r="I12" s="29">
        <f t="shared" si="5"/>
        <v>0.96666666666666667</v>
      </c>
      <c r="J12" s="31">
        <f t="shared" si="6"/>
        <v>0.8222222222222223</v>
      </c>
      <c r="K12" t="s">
        <v>1263</v>
      </c>
      <c r="L12" s="29">
        <v>68.310344827586221</v>
      </c>
      <c r="M12" s="12">
        <v>54.741614661454435</v>
      </c>
      <c r="N12">
        <v>21.1</v>
      </c>
      <c r="O12" s="5">
        <v>243.4</v>
      </c>
      <c r="P12" s="12">
        <v>742.59606000000008</v>
      </c>
      <c r="Q12" s="12">
        <f t="shared" si="0"/>
        <v>0.74259606000000011</v>
      </c>
      <c r="R12" s="12">
        <f t="shared" si="7"/>
        <v>0.50814145000000011</v>
      </c>
      <c r="S12" s="4"/>
      <c r="T12" s="5">
        <v>30</v>
      </c>
    </row>
    <row r="13" spans="1:20" x14ac:dyDescent="0.2">
      <c r="A13" t="s">
        <v>1259</v>
      </c>
      <c r="B13">
        <v>45</v>
      </c>
      <c r="C13" s="4" t="s">
        <v>1253</v>
      </c>
      <c r="D13" s="27" t="s">
        <v>1059</v>
      </c>
      <c r="E13" s="29">
        <f t="shared" si="2"/>
        <v>0.194396083</v>
      </c>
      <c r="F13" s="12">
        <f t="shared" si="3"/>
        <v>0.18658092933333331</v>
      </c>
      <c r="G13" s="4">
        <v>13</v>
      </c>
      <c r="H13" s="12">
        <f t="shared" si="4"/>
        <v>8.6666666666666679</v>
      </c>
      <c r="I13" s="29">
        <f t="shared" si="5"/>
        <v>0.43333333333333335</v>
      </c>
      <c r="J13" s="31">
        <f t="shared" si="6"/>
        <v>0.28888888888888892</v>
      </c>
      <c r="K13" t="s">
        <v>1264</v>
      </c>
      <c r="L13" s="29">
        <v>136.10769230769233</v>
      </c>
      <c r="M13" s="12">
        <v>87.469559201943184</v>
      </c>
      <c r="N13">
        <v>27.5</v>
      </c>
      <c r="O13" s="5">
        <v>353.6</v>
      </c>
      <c r="P13" s="12">
        <v>5831.88249</v>
      </c>
      <c r="Q13" s="12">
        <f t="shared" si="0"/>
        <v>5.8318824899999999</v>
      </c>
      <c r="R13" s="12">
        <f t="shared" si="7"/>
        <v>5.5974278799999997</v>
      </c>
      <c r="S13" s="4"/>
      <c r="T13" s="5">
        <v>30</v>
      </c>
    </row>
    <row r="14" spans="1:20" x14ac:dyDescent="0.2">
      <c r="A14" t="s">
        <v>1259</v>
      </c>
      <c r="B14">
        <v>14</v>
      </c>
      <c r="C14" s="4" t="s">
        <v>1282</v>
      </c>
      <c r="D14" s="4" t="s">
        <v>352</v>
      </c>
      <c r="E14" s="29">
        <f t="shared" si="2"/>
        <v>3.8330324999999991E-2</v>
      </c>
      <c r="F14" s="12">
        <f t="shared" si="3"/>
        <v>3.0515171333333323E-2</v>
      </c>
      <c r="G14" s="4">
        <v>15</v>
      </c>
      <c r="H14" s="12">
        <f t="shared" si="4"/>
        <v>10.666666666666668</v>
      </c>
      <c r="I14" s="29">
        <f t="shared" si="5"/>
        <v>0.5</v>
      </c>
      <c r="J14" s="31">
        <f>H14/T14</f>
        <v>0.35555555555555557</v>
      </c>
      <c r="K14" t="s">
        <v>1265</v>
      </c>
      <c r="L14" s="29">
        <v>116.31999999999998</v>
      </c>
      <c r="M14" s="12">
        <v>84.1916638787159</v>
      </c>
      <c r="N14">
        <v>25.3</v>
      </c>
      <c r="O14" s="5">
        <v>336.4</v>
      </c>
      <c r="P14" s="12">
        <v>1149.9097499999998</v>
      </c>
      <c r="Q14" s="12">
        <f t="shared" si="0"/>
        <v>1.1499097499999997</v>
      </c>
      <c r="R14" s="12">
        <f t="shared" si="7"/>
        <v>0.91545513999999972</v>
      </c>
      <c r="S14" s="4"/>
      <c r="T14" s="5">
        <v>30</v>
      </c>
    </row>
    <row r="15" spans="1:20" x14ac:dyDescent="0.2">
      <c r="A15" t="s">
        <v>1259</v>
      </c>
      <c r="B15">
        <v>98</v>
      </c>
      <c r="C15" s="4" t="s">
        <v>1266</v>
      </c>
      <c r="D15" s="4" t="s">
        <v>387</v>
      </c>
      <c r="E15" s="29">
        <f t="shared" si="2"/>
        <v>8.3434349999999997E-3</v>
      </c>
      <c r="F15" s="12">
        <f t="shared" si="3"/>
        <v>5.2828133333333209E-4</v>
      </c>
      <c r="G15" s="4">
        <v>8</v>
      </c>
      <c r="H15" s="12">
        <f t="shared" si="4"/>
        <v>3.666666666666667</v>
      </c>
      <c r="I15" s="29">
        <f t="shared" si="5"/>
        <v>0.26666666666666666</v>
      </c>
      <c r="J15" s="31">
        <f t="shared" si="6"/>
        <v>0.12222222222222223</v>
      </c>
      <c r="K15" t="s">
        <v>1267</v>
      </c>
      <c r="L15" s="29">
        <v>79.474999999999994</v>
      </c>
      <c r="M15" s="12">
        <v>42.083005774302762</v>
      </c>
      <c r="N15">
        <v>33.5</v>
      </c>
      <c r="O15" s="5">
        <v>165.2</v>
      </c>
      <c r="P15" s="12">
        <v>250.30304999999998</v>
      </c>
      <c r="Q15" s="12">
        <f t="shared" si="0"/>
        <v>0.25030304999999997</v>
      </c>
      <c r="R15" s="12">
        <f t="shared" si="7"/>
        <v>1.5848439999999964E-2</v>
      </c>
      <c r="S15" s="4"/>
      <c r="T15" s="5">
        <v>30</v>
      </c>
    </row>
    <row r="16" spans="1:20" x14ac:dyDescent="0.2">
      <c r="A16" t="s">
        <v>1259</v>
      </c>
      <c r="B16">
        <v>62</v>
      </c>
      <c r="C16" s="4" t="s">
        <v>1268</v>
      </c>
      <c r="D16" s="4" t="s">
        <v>768</v>
      </c>
      <c r="E16" s="29">
        <f t="shared" si="2"/>
        <v>1.4729624666666667E-2</v>
      </c>
      <c r="F16" s="12">
        <f t="shared" si="3"/>
        <v>6.9144710000000002E-3</v>
      </c>
      <c r="G16" s="4">
        <v>7</v>
      </c>
      <c r="H16" s="12">
        <f t="shared" si="4"/>
        <v>2.666666666666667</v>
      </c>
      <c r="I16" s="29">
        <f t="shared" si="5"/>
        <v>0.23333333333333334</v>
      </c>
      <c r="J16" s="31">
        <f t="shared" si="6"/>
        <v>8.8888888888888892E-2</v>
      </c>
      <c r="K16" t="s">
        <v>1269</v>
      </c>
      <c r="L16" s="29">
        <v>112.39999999999999</v>
      </c>
      <c r="M16" s="12">
        <v>53.193662350751111</v>
      </c>
      <c r="N16">
        <v>56.2</v>
      </c>
      <c r="O16" s="5">
        <v>204</v>
      </c>
      <c r="P16" s="12">
        <v>441.88873999999998</v>
      </c>
      <c r="Q16" s="12">
        <f t="shared" si="0"/>
        <v>0.44188874</v>
      </c>
      <c r="R16" s="12">
        <f t="shared" si="7"/>
        <v>0.20743412999999999</v>
      </c>
      <c r="S16" s="4"/>
      <c r="T16" s="5">
        <v>30</v>
      </c>
    </row>
    <row r="17" spans="1:20" x14ac:dyDescent="0.2">
      <c r="A17" t="s">
        <v>1259</v>
      </c>
      <c r="B17">
        <v>29</v>
      </c>
      <c r="C17" s="4" t="s">
        <v>1268</v>
      </c>
      <c r="D17" s="4" t="s">
        <v>815</v>
      </c>
      <c r="E17" s="29">
        <f t="shared" si="2"/>
        <v>2.2843303333333334E-3</v>
      </c>
      <c r="F17" s="12">
        <f t="shared" si="3"/>
        <v>-5.5308233333333338E-3</v>
      </c>
      <c r="G17" s="4">
        <v>5</v>
      </c>
      <c r="H17" s="12">
        <f t="shared" si="4"/>
        <v>0.66666666666666696</v>
      </c>
      <c r="I17" s="29">
        <f t="shared" si="5"/>
        <v>0.16666666666666666</v>
      </c>
      <c r="J17" s="31">
        <f t="shared" si="6"/>
        <v>2.2222222222222233E-2</v>
      </c>
      <c r="K17" t="s">
        <v>1270</v>
      </c>
      <c r="L17" s="29">
        <v>57.239999999999995</v>
      </c>
      <c r="M17" s="12">
        <v>44.055537676891426</v>
      </c>
      <c r="N17">
        <v>22.9</v>
      </c>
      <c r="O17" s="5">
        <v>143.19999999999999</v>
      </c>
      <c r="P17" s="12">
        <v>68.529910000000001</v>
      </c>
      <c r="Q17" s="12">
        <f t="shared" si="0"/>
        <v>6.8529909999999999E-2</v>
      </c>
      <c r="R17" s="12">
        <f t="shared" si="7"/>
        <v>-0.16592470000000001</v>
      </c>
      <c r="S17" s="4"/>
      <c r="T17" s="5">
        <v>30</v>
      </c>
    </row>
    <row r="18" spans="1:20" x14ac:dyDescent="0.2">
      <c r="A18" t="s">
        <v>1259</v>
      </c>
      <c r="B18">
        <v>22</v>
      </c>
      <c r="C18" s="4" t="s">
        <v>1266</v>
      </c>
      <c r="D18" s="4" t="s">
        <v>816</v>
      </c>
      <c r="E18" s="29">
        <f t="shared" si="2"/>
        <v>0.11272987166666666</v>
      </c>
      <c r="F18" s="12">
        <f t="shared" si="3"/>
        <v>0.104914718</v>
      </c>
      <c r="G18" s="4">
        <v>8</v>
      </c>
      <c r="H18" s="12">
        <f t="shared" si="4"/>
        <v>3.666666666666667</v>
      </c>
      <c r="I18" s="29">
        <f t="shared" si="5"/>
        <v>0.26666666666666666</v>
      </c>
      <c r="J18" s="31">
        <f t="shared" si="6"/>
        <v>0.12222222222222223</v>
      </c>
      <c r="K18" t="s">
        <v>1271</v>
      </c>
      <c r="L18" s="29">
        <v>145.625</v>
      </c>
      <c r="M18" s="12">
        <v>111.4136184449639</v>
      </c>
      <c r="N18">
        <v>36.6</v>
      </c>
      <c r="O18" s="5">
        <v>359.7</v>
      </c>
      <c r="P18" s="12">
        <v>3381.8961499999996</v>
      </c>
      <c r="Q18" s="12">
        <f t="shared" si="0"/>
        <v>3.3818961499999998</v>
      </c>
      <c r="R18" s="12">
        <f t="shared" si="7"/>
        <v>3.14744154</v>
      </c>
      <c r="S18" s="4"/>
      <c r="T18" s="5">
        <v>30</v>
      </c>
    </row>
    <row r="19" spans="1:20" x14ac:dyDescent="0.2">
      <c r="A19" t="s">
        <v>1259</v>
      </c>
      <c r="B19">
        <v>80</v>
      </c>
      <c r="C19" s="4" t="s">
        <v>1266</v>
      </c>
      <c r="D19" s="4" t="s">
        <v>847</v>
      </c>
      <c r="E19" s="29">
        <f t="shared" si="2"/>
        <v>4.4885404333333351E-2</v>
      </c>
      <c r="F19" s="12">
        <f t="shared" si="3"/>
        <v>3.7070250666666686E-2</v>
      </c>
      <c r="G19" s="4">
        <v>43</v>
      </c>
      <c r="H19" s="12">
        <f t="shared" si="4"/>
        <v>38.666666666666664</v>
      </c>
      <c r="I19" s="29">
        <f t="shared" si="5"/>
        <v>1.4333333333333333</v>
      </c>
      <c r="J19" s="31">
        <f t="shared" si="6"/>
        <v>1.2888888888888888</v>
      </c>
      <c r="K19" t="s">
        <v>1272</v>
      </c>
      <c r="L19" s="29">
        <v>68.618604651162784</v>
      </c>
      <c r="M19" s="12">
        <v>50.942809958080417</v>
      </c>
      <c r="N19">
        <v>21.1</v>
      </c>
      <c r="O19" s="5">
        <v>260.2</v>
      </c>
      <c r="P19" s="12">
        <v>1346.5621300000005</v>
      </c>
      <c r="Q19" s="12">
        <f t="shared" si="0"/>
        <v>1.3465621300000006</v>
      </c>
      <c r="R19" s="12">
        <f t="shared" si="7"/>
        <v>1.1121075200000006</v>
      </c>
      <c r="S19" s="4"/>
      <c r="T19" s="5">
        <v>30</v>
      </c>
    </row>
    <row r="20" spans="1:20" ht="16" thickBot="1" x14ac:dyDescent="0.25">
      <c r="A20" t="s">
        <v>1259</v>
      </c>
      <c r="B20">
        <v>54</v>
      </c>
      <c r="C20" s="8" t="s">
        <v>1282</v>
      </c>
      <c r="D20" s="34" t="s">
        <v>1124</v>
      </c>
      <c r="E20" s="32">
        <f t="shared" si="2"/>
        <v>1.1085667333333334E-2</v>
      </c>
      <c r="F20" s="13">
        <f t="shared" si="3"/>
        <v>3.2705136666666672E-3</v>
      </c>
      <c r="G20" s="8">
        <v>6</v>
      </c>
      <c r="H20" s="13">
        <f t="shared" si="4"/>
        <v>1.666666666666667</v>
      </c>
      <c r="I20" s="32">
        <f t="shared" si="5"/>
        <v>0.2</v>
      </c>
      <c r="J20" s="33">
        <f t="shared" si="6"/>
        <v>5.5555555555555566E-2</v>
      </c>
      <c r="K20" s="9" t="s">
        <v>1273</v>
      </c>
      <c r="L20" s="32">
        <v>87.666666666666671</v>
      </c>
      <c r="M20" s="13">
        <v>48.345550180158476</v>
      </c>
      <c r="N20" s="9">
        <v>28.8</v>
      </c>
      <c r="O20" s="10">
        <v>187.2</v>
      </c>
      <c r="P20" s="13">
        <v>332.57002</v>
      </c>
      <c r="Q20" s="13">
        <f t="shared" si="0"/>
        <v>0.33257002000000002</v>
      </c>
      <c r="R20" s="13">
        <f t="shared" si="7"/>
        <v>9.8115410000000014E-2</v>
      </c>
      <c r="S20" s="8"/>
      <c r="T20" s="10">
        <v>30</v>
      </c>
    </row>
    <row r="21" spans="1:20" ht="16" thickBot="1" x14ac:dyDescent="0.25">
      <c r="E21" s="12"/>
      <c r="F21" s="12"/>
      <c r="H21" s="12"/>
      <c r="I21" s="12"/>
      <c r="J21" s="12"/>
      <c r="L21" s="12"/>
      <c r="M21" s="12"/>
      <c r="P21" s="12"/>
      <c r="Q21" s="12"/>
      <c r="R21" s="12"/>
    </row>
    <row r="22" spans="1:20" x14ac:dyDescent="0.2">
      <c r="D22" s="1" t="s">
        <v>1192</v>
      </c>
      <c r="E22" s="2"/>
      <c r="F22" s="2"/>
      <c r="G22" s="2">
        <v>1</v>
      </c>
      <c r="H22" s="2"/>
      <c r="I22" s="2"/>
      <c r="J22" s="2"/>
      <c r="K22" s="2"/>
      <c r="L22" s="2">
        <v>129</v>
      </c>
      <c r="M22" s="2">
        <v>0</v>
      </c>
      <c r="N22" s="2">
        <v>129</v>
      </c>
      <c r="O22" s="2">
        <v>129</v>
      </c>
      <c r="P22" s="11">
        <v>120.3399</v>
      </c>
      <c r="Q22" s="11">
        <f t="shared" si="0"/>
        <v>0.1203399</v>
      </c>
      <c r="R22" s="2"/>
      <c r="S22" s="2"/>
      <c r="T22" s="3"/>
    </row>
    <row r="23" spans="1:20" x14ac:dyDescent="0.2">
      <c r="D23" s="4" t="s">
        <v>1195</v>
      </c>
      <c r="G23">
        <v>1</v>
      </c>
      <c r="L23">
        <v>44.4</v>
      </c>
      <c r="M23">
        <v>0</v>
      </c>
      <c r="N23">
        <v>44.4</v>
      </c>
      <c r="O23">
        <v>44.4</v>
      </c>
      <c r="P23" s="12">
        <v>4.3983499999999998</v>
      </c>
      <c r="Q23" s="12">
        <f t="shared" si="0"/>
        <v>4.3983499999999997E-3</v>
      </c>
      <c r="T23" s="5"/>
    </row>
    <row r="24" spans="1:20" ht="16" thickBot="1" x14ac:dyDescent="0.25">
      <c r="D24" s="8" t="s">
        <v>1198</v>
      </c>
      <c r="E24" s="9"/>
      <c r="F24" s="9"/>
      <c r="G24" s="9">
        <v>11</v>
      </c>
      <c r="H24" s="9"/>
      <c r="I24" s="9"/>
      <c r="J24" s="9"/>
      <c r="K24" s="9"/>
      <c r="L24" s="13">
        <v>70.318181818181813</v>
      </c>
      <c r="M24" s="13">
        <v>45.296915772626242</v>
      </c>
      <c r="N24" s="9">
        <v>22.9</v>
      </c>
      <c r="O24" s="9">
        <v>153.9</v>
      </c>
      <c r="P24" s="13">
        <v>578.62558000000001</v>
      </c>
      <c r="Q24" s="13">
        <f t="shared" si="0"/>
        <v>0.57862557999999997</v>
      </c>
      <c r="R24" s="9"/>
      <c r="S24" s="9"/>
      <c r="T24" s="10"/>
    </row>
    <row r="25" spans="1:20" x14ac:dyDescent="0.2">
      <c r="F25" t="s">
        <v>1283</v>
      </c>
      <c r="G25" s="14">
        <f>AVERAGE(G22:G24)</f>
        <v>4.333333333333333</v>
      </c>
      <c r="O25" t="s">
        <v>1283</v>
      </c>
      <c r="Q25" s="12">
        <f>AVERAGE(Q22:Q24)</f>
        <v>0.23445461000000001</v>
      </c>
    </row>
    <row r="26" spans="1:20" x14ac:dyDescent="0.2">
      <c r="F26" t="s">
        <v>1187</v>
      </c>
      <c r="G26">
        <f>_xlfn.STDEV.P(G22:G24)</f>
        <v>4.714045207910317</v>
      </c>
      <c r="P26" t="s">
        <v>1187</v>
      </c>
      <c r="Q26" s="12">
        <f>_xlfn.STDEV.P(Q22:Q24)</f>
        <v>0.24792586687308538</v>
      </c>
    </row>
    <row r="30" spans="1:20" x14ac:dyDescent="0.2">
      <c r="A30" s="51" t="s">
        <v>1290</v>
      </c>
      <c r="B30" s="52"/>
      <c r="C30" s="52"/>
      <c r="D30" s="52"/>
      <c r="E30" s="52"/>
      <c r="F30" s="53"/>
    </row>
    <row r="31" spans="1:20" x14ac:dyDescent="0.2">
      <c r="A31" s="54" t="s">
        <v>1248</v>
      </c>
      <c r="B31" s="55" t="s">
        <v>1191</v>
      </c>
      <c r="C31" s="55" t="s">
        <v>1291</v>
      </c>
      <c r="D31" s="55" t="s">
        <v>1292</v>
      </c>
      <c r="E31" s="56"/>
      <c r="F31" s="57"/>
    </row>
    <row r="32" spans="1:20" x14ac:dyDescent="0.2">
      <c r="A32" s="58" t="s">
        <v>1257</v>
      </c>
      <c r="B32" s="56">
        <v>5</v>
      </c>
      <c r="C32" s="56">
        <v>9685</v>
      </c>
      <c r="D32" s="56">
        <f>B32/C32</f>
        <v>5.1626226122870422E-4</v>
      </c>
      <c r="E32" s="56"/>
      <c r="F32" s="57"/>
    </row>
    <row r="33" spans="1:6" x14ac:dyDescent="0.2">
      <c r="A33" s="58" t="s">
        <v>1255</v>
      </c>
      <c r="B33" s="56">
        <v>12</v>
      </c>
      <c r="C33" s="56">
        <v>7748</v>
      </c>
      <c r="D33" s="56">
        <f t="shared" ref="D33:D36" si="8">B33/C33</f>
        <v>1.5487867836861124E-3</v>
      </c>
      <c r="E33" s="56"/>
      <c r="F33" s="57"/>
    </row>
    <row r="34" spans="1:6" x14ac:dyDescent="0.2">
      <c r="A34" s="58" t="s">
        <v>1253</v>
      </c>
      <c r="B34" s="56">
        <v>5</v>
      </c>
      <c r="C34" s="56">
        <v>23840</v>
      </c>
      <c r="D34" s="56">
        <f t="shared" si="8"/>
        <v>2.0973154362416107E-4</v>
      </c>
      <c r="E34" s="56"/>
      <c r="F34" s="57"/>
    </row>
    <row r="35" spans="1:6" x14ac:dyDescent="0.2">
      <c r="A35" s="58" t="s">
        <v>1249</v>
      </c>
      <c r="B35" s="56">
        <v>7</v>
      </c>
      <c r="C35" s="56">
        <v>20860</v>
      </c>
      <c r="D35" s="56">
        <f t="shared" si="8"/>
        <v>3.355704697986577E-4</v>
      </c>
      <c r="E35" s="56"/>
      <c r="F35" s="57"/>
    </row>
    <row r="36" spans="1:6" x14ac:dyDescent="0.2">
      <c r="A36" s="58" t="s">
        <v>1251</v>
      </c>
      <c r="B36" s="56">
        <v>2</v>
      </c>
      <c r="C36" s="56">
        <v>50660</v>
      </c>
      <c r="D36" s="56">
        <f t="shared" si="8"/>
        <v>3.9478878799842084E-5</v>
      </c>
      <c r="E36" s="56"/>
      <c r="F36" s="57"/>
    </row>
    <row r="37" spans="1:6" x14ac:dyDescent="0.2">
      <c r="A37" s="58" t="s">
        <v>1293</v>
      </c>
      <c r="B37" s="56">
        <f>AVERAGE(B32:B36)</f>
        <v>6.2</v>
      </c>
      <c r="C37" s="56"/>
      <c r="D37" s="56">
        <f>AVERAGE(D32:D36)</f>
        <v>5.2996598742749564E-4</v>
      </c>
      <c r="E37" s="56" t="s">
        <v>1187</v>
      </c>
      <c r="F37" s="57">
        <f>_xlfn.STDEV.P(D32:D36)</f>
        <v>5.3274776902449889E-4</v>
      </c>
    </row>
    <row r="38" spans="1:6" x14ac:dyDescent="0.2">
      <c r="A38" s="54" t="s">
        <v>1294</v>
      </c>
      <c r="B38" s="56"/>
      <c r="C38" s="56"/>
      <c r="D38" s="56"/>
      <c r="E38" s="56"/>
      <c r="F38" s="57"/>
    </row>
    <row r="39" spans="1:6" x14ac:dyDescent="0.2">
      <c r="A39" s="58" t="s">
        <v>1295</v>
      </c>
      <c r="B39" s="56">
        <v>7</v>
      </c>
      <c r="C39" s="56">
        <v>30</v>
      </c>
      <c r="D39" s="56">
        <f t="shared" ref="D39:D50" si="9">B39/C39</f>
        <v>0.23333333333333334</v>
      </c>
      <c r="E39" s="56"/>
      <c r="F39" s="57"/>
    </row>
    <row r="40" spans="1:6" x14ac:dyDescent="0.2">
      <c r="A40" s="58" t="s">
        <v>1296</v>
      </c>
      <c r="B40" s="56">
        <v>21</v>
      </c>
      <c r="C40" s="56">
        <v>30</v>
      </c>
      <c r="D40" s="56">
        <f t="shared" si="9"/>
        <v>0.7</v>
      </c>
      <c r="E40" s="56"/>
      <c r="F40" s="57"/>
    </row>
    <row r="41" spans="1:6" x14ac:dyDescent="0.2">
      <c r="A41" s="58" t="s">
        <v>1297</v>
      </c>
      <c r="B41" s="56">
        <v>5</v>
      </c>
      <c r="C41" s="56">
        <v>30</v>
      </c>
      <c r="D41" s="56">
        <f t="shared" si="9"/>
        <v>0.16666666666666666</v>
      </c>
      <c r="E41" s="56"/>
      <c r="F41" s="57"/>
    </row>
    <row r="42" spans="1:6" x14ac:dyDescent="0.2">
      <c r="A42" s="58" t="s">
        <v>1298</v>
      </c>
      <c r="B42" s="56">
        <v>6</v>
      </c>
      <c r="C42" s="56">
        <v>30</v>
      </c>
      <c r="D42" s="56">
        <f t="shared" si="9"/>
        <v>0.2</v>
      </c>
      <c r="E42" s="56"/>
      <c r="F42" s="57"/>
    </row>
    <row r="43" spans="1:6" x14ac:dyDescent="0.2">
      <c r="A43" s="58" t="s">
        <v>1299</v>
      </c>
      <c r="B43" s="56">
        <v>1</v>
      </c>
      <c r="C43" s="56">
        <v>30</v>
      </c>
      <c r="D43" s="56">
        <f t="shared" si="9"/>
        <v>3.3333333333333333E-2</v>
      </c>
      <c r="E43" s="56"/>
      <c r="F43" s="57"/>
    </row>
    <row r="44" spans="1:6" x14ac:dyDescent="0.2">
      <c r="A44" s="58" t="s">
        <v>1300</v>
      </c>
      <c r="B44" s="56">
        <v>7</v>
      </c>
      <c r="C44" s="56">
        <v>30</v>
      </c>
      <c r="D44" s="56">
        <f t="shared" si="9"/>
        <v>0.23333333333333334</v>
      </c>
      <c r="E44" s="56"/>
      <c r="F44" s="57"/>
    </row>
    <row r="45" spans="1:6" x14ac:dyDescent="0.2">
      <c r="A45" s="58" t="s">
        <v>1301</v>
      </c>
      <c r="B45" s="56">
        <v>2</v>
      </c>
      <c r="C45" s="56">
        <v>30</v>
      </c>
      <c r="D45" s="56">
        <f t="shared" si="9"/>
        <v>6.6666666666666666E-2</v>
      </c>
      <c r="E45" s="56"/>
      <c r="F45" s="57"/>
    </row>
    <row r="46" spans="1:6" x14ac:dyDescent="0.2">
      <c r="A46" s="58" t="s">
        <v>1302</v>
      </c>
      <c r="B46" s="56">
        <v>1</v>
      </c>
      <c r="C46" s="56">
        <v>30</v>
      </c>
      <c r="D46" s="56">
        <f t="shared" si="9"/>
        <v>3.3333333333333333E-2</v>
      </c>
      <c r="E46" s="56"/>
      <c r="F46" s="57"/>
    </row>
    <row r="47" spans="1:6" x14ac:dyDescent="0.2">
      <c r="A47" s="58" t="s">
        <v>1303</v>
      </c>
      <c r="B47" s="56">
        <v>3</v>
      </c>
      <c r="C47" s="56">
        <v>30</v>
      </c>
      <c r="D47" s="56">
        <f t="shared" si="9"/>
        <v>0.1</v>
      </c>
      <c r="E47" s="56"/>
      <c r="F47" s="57"/>
    </row>
    <row r="48" spans="1:6" x14ac:dyDescent="0.2">
      <c r="A48" s="58" t="s">
        <v>1304</v>
      </c>
      <c r="B48" s="56">
        <v>8</v>
      </c>
      <c r="C48" s="56">
        <v>30</v>
      </c>
      <c r="D48" s="56">
        <f t="shared" si="9"/>
        <v>0.26666666666666666</v>
      </c>
      <c r="E48" s="56"/>
      <c r="F48" s="57"/>
    </row>
    <row r="49" spans="1:6" x14ac:dyDescent="0.2">
      <c r="A49" s="58" t="s">
        <v>1305</v>
      </c>
      <c r="B49" s="56">
        <v>8</v>
      </c>
      <c r="C49" s="56">
        <v>30</v>
      </c>
      <c r="D49" s="56">
        <f t="shared" si="9"/>
        <v>0.26666666666666666</v>
      </c>
      <c r="E49" s="56"/>
      <c r="F49" s="57"/>
    </row>
    <row r="50" spans="1:6" x14ac:dyDescent="0.2">
      <c r="A50" s="58" t="s">
        <v>1306</v>
      </c>
      <c r="B50" s="56">
        <v>2</v>
      </c>
      <c r="C50" s="56">
        <v>30</v>
      </c>
      <c r="D50" s="56">
        <f t="shared" si="9"/>
        <v>6.6666666666666666E-2</v>
      </c>
      <c r="E50" s="56"/>
      <c r="F50" s="57"/>
    </row>
    <row r="51" spans="1:6" x14ac:dyDescent="0.2">
      <c r="A51" s="59" t="s">
        <v>1293</v>
      </c>
      <c r="B51" s="60">
        <f>AVERAGE(B39:B50)</f>
        <v>5.916666666666667</v>
      </c>
      <c r="C51" s="60"/>
      <c r="D51" s="60">
        <f>AVERAGE(D39:D50)</f>
        <v>0.19722222222222227</v>
      </c>
      <c r="E51" s="60" t="s">
        <v>1187</v>
      </c>
      <c r="F51" s="61">
        <f>_xlfn.STDEV.P(D39:D50)</f>
        <v>0.17398293516432881</v>
      </c>
    </row>
  </sheetData>
  <mergeCells count="1">
    <mergeCell ref="L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9A210-78E8-4F2F-904F-949AA5FAF174}">
  <dimension ref="A1:K56"/>
  <sheetViews>
    <sheetView topLeftCell="A30" workbookViewId="0">
      <selection activeCell="B22" sqref="B22:H22"/>
    </sheetView>
  </sheetViews>
  <sheetFormatPr baseColWidth="10" defaultColWidth="8.83203125" defaultRowHeight="15" x14ac:dyDescent="0.2"/>
  <sheetData>
    <row r="1" spans="1:8" x14ac:dyDescent="0.2">
      <c r="A1" t="s">
        <v>1307</v>
      </c>
    </row>
    <row r="2" spans="1:8" x14ac:dyDescent="0.2">
      <c r="A2" t="s">
        <v>1308</v>
      </c>
    </row>
    <row r="3" spans="1:8" ht="16" thickBot="1" x14ac:dyDescent="0.25">
      <c r="H3" s="9"/>
    </row>
    <row r="4" spans="1:8" x14ac:dyDescent="0.2">
      <c r="A4" s="1"/>
      <c r="B4" s="2" t="s">
        <v>1309</v>
      </c>
      <c r="C4" s="2" t="s">
        <v>1310</v>
      </c>
      <c r="D4" s="2" t="s">
        <v>1311</v>
      </c>
      <c r="E4" s="2" t="s">
        <v>1312</v>
      </c>
      <c r="F4" s="2" t="s">
        <v>1313</v>
      </c>
      <c r="G4" s="62" t="s">
        <v>1314</v>
      </c>
      <c r="H4" t="s">
        <v>1246</v>
      </c>
    </row>
    <row r="5" spans="1:8" x14ac:dyDescent="0.2">
      <c r="A5" s="4" t="s">
        <v>164</v>
      </c>
      <c r="B5">
        <v>0</v>
      </c>
      <c r="C5">
        <v>0</v>
      </c>
      <c r="D5">
        <v>15</v>
      </c>
      <c r="E5">
        <v>11</v>
      </c>
      <c r="F5">
        <v>4</v>
      </c>
      <c r="G5" s="48">
        <v>0</v>
      </c>
      <c r="H5">
        <f t="shared" ref="H5:H22" si="0">SUM(B5:G5)</f>
        <v>30</v>
      </c>
    </row>
    <row r="6" spans="1:8" x14ac:dyDescent="0.2">
      <c r="A6" s="4" t="s">
        <v>221</v>
      </c>
      <c r="B6">
        <v>0</v>
      </c>
      <c r="C6">
        <v>0</v>
      </c>
      <c r="D6">
        <v>3</v>
      </c>
      <c r="E6">
        <v>9</v>
      </c>
      <c r="F6">
        <v>2</v>
      </c>
      <c r="G6" s="48">
        <v>0</v>
      </c>
      <c r="H6">
        <f t="shared" si="0"/>
        <v>14</v>
      </c>
    </row>
    <row r="7" spans="1:8" x14ac:dyDescent="0.2">
      <c r="A7" s="4" t="s">
        <v>289</v>
      </c>
      <c r="B7">
        <v>0</v>
      </c>
      <c r="C7">
        <v>0</v>
      </c>
      <c r="D7">
        <v>6</v>
      </c>
      <c r="E7">
        <v>5</v>
      </c>
      <c r="F7">
        <v>6</v>
      </c>
      <c r="G7" s="48">
        <v>0</v>
      </c>
      <c r="H7">
        <f t="shared" si="0"/>
        <v>17</v>
      </c>
    </row>
    <row r="8" spans="1:8" x14ac:dyDescent="0.2">
      <c r="A8" s="4" t="s">
        <v>352</v>
      </c>
      <c r="B8">
        <v>0</v>
      </c>
      <c r="C8">
        <v>0</v>
      </c>
      <c r="D8">
        <v>5</v>
      </c>
      <c r="E8">
        <v>8</v>
      </c>
      <c r="F8">
        <v>2</v>
      </c>
      <c r="G8" s="48">
        <v>0</v>
      </c>
      <c r="H8">
        <f t="shared" si="0"/>
        <v>15</v>
      </c>
    </row>
    <row r="9" spans="1:8" x14ac:dyDescent="0.2">
      <c r="A9" s="4" t="s">
        <v>387</v>
      </c>
      <c r="B9">
        <v>0</v>
      </c>
      <c r="C9">
        <v>1</v>
      </c>
      <c r="D9">
        <v>3</v>
      </c>
      <c r="E9">
        <v>1</v>
      </c>
      <c r="F9">
        <v>3</v>
      </c>
      <c r="G9" s="48">
        <v>0</v>
      </c>
      <c r="H9">
        <f t="shared" si="0"/>
        <v>8</v>
      </c>
    </row>
    <row r="10" spans="1:8" x14ac:dyDescent="0.2">
      <c r="A10" s="4" t="s">
        <v>612</v>
      </c>
      <c r="B10">
        <v>1</v>
      </c>
      <c r="C10">
        <v>0</v>
      </c>
      <c r="D10">
        <v>17</v>
      </c>
      <c r="E10">
        <v>23</v>
      </c>
      <c r="F10">
        <v>14</v>
      </c>
      <c r="G10" s="48">
        <v>0</v>
      </c>
      <c r="H10">
        <f t="shared" si="0"/>
        <v>55</v>
      </c>
    </row>
    <row r="11" spans="1:8" x14ac:dyDescent="0.2">
      <c r="A11" s="4" t="s">
        <v>645</v>
      </c>
      <c r="B11">
        <v>0</v>
      </c>
      <c r="C11">
        <v>1</v>
      </c>
      <c r="D11">
        <v>6</v>
      </c>
      <c r="E11">
        <v>1</v>
      </c>
      <c r="F11">
        <v>0</v>
      </c>
      <c r="G11" s="48">
        <v>0</v>
      </c>
      <c r="H11">
        <f t="shared" si="0"/>
        <v>8</v>
      </c>
    </row>
    <row r="12" spans="1:8" x14ac:dyDescent="0.2">
      <c r="A12" s="4" t="s">
        <v>753</v>
      </c>
      <c r="B12">
        <v>0</v>
      </c>
      <c r="C12">
        <v>0</v>
      </c>
      <c r="D12">
        <v>24</v>
      </c>
      <c r="E12">
        <v>4</v>
      </c>
      <c r="F12">
        <v>1</v>
      </c>
      <c r="G12" s="48">
        <v>0</v>
      </c>
      <c r="H12">
        <f t="shared" si="0"/>
        <v>29</v>
      </c>
    </row>
    <row r="13" spans="1:8" x14ac:dyDescent="0.2">
      <c r="A13" s="4" t="s">
        <v>767</v>
      </c>
      <c r="B13">
        <v>0</v>
      </c>
      <c r="C13">
        <v>0</v>
      </c>
      <c r="D13">
        <v>1</v>
      </c>
      <c r="E13">
        <v>1</v>
      </c>
      <c r="F13">
        <v>1</v>
      </c>
      <c r="G13" s="48">
        <v>0</v>
      </c>
      <c r="H13">
        <f t="shared" si="0"/>
        <v>3</v>
      </c>
    </row>
    <row r="14" spans="1:8" x14ac:dyDescent="0.2">
      <c r="A14" s="4" t="s">
        <v>768</v>
      </c>
      <c r="B14">
        <v>0</v>
      </c>
      <c r="C14">
        <v>0</v>
      </c>
      <c r="D14">
        <v>2</v>
      </c>
      <c r="E14">
        <v>1</v>
      </c>
      <c r="F14">
        <v>3</v>
      </c>
      <c r="G14" s="48">
        <v>1</v>
      </c>
      <c r="H14">
        <f t="shared" si="0"/>
        <v>7</v>
      </c>
    </row>
    <row r="15" spans="1:8" x14ac:dyDescent="0.2">
      <c r="A15" s="4" t="s">
        <v>815</v>
      </c>
      <c r="B15">
        <v>0</v>
      </c>
      <c r="C15">
        <v>0</v>
      </c>
      <c r="D15">
        <v>1</v>
      </c>
      <c r="E15">
        <v>1</v>
      </c>
      <c r="F15">
        <v>3</v>
      </c>
      <c r="G15" s="48">
        <v>0</v>
      </c>
      <c r="H15">
        <f t="shared" si="0"/>
        <v>5</v>
      </c>
    </row>
    <row r="16" spans="1:8" x14ac:dyDescent="0.2">
      <c r="A16" s="4" t="s">
        <v>816</v>
      </c>
      <c r="B16">
        <v>0</v>
      </c>
      <c r="C16">
        <v>0</v>
      </c>
      <c r="D16">
        <v>7</v>
      </c>
      <c r="E16">
        <v>1</v>
      </c>
      <c r="F16">
        <v>0</v>
      </c>
      <c r="G16" s="48">
        <v>0</v>
      </c>
      <c r="H16">
        <f t="shared" si="0"/>
        <v>8</v>
      </c>
    </row>
    <row r="17" spans="1:11" x14ac:dyDescent="0.2">
      <c r="A17" s="4" t="s">
        <v>847</v>
      </c>
      <c r="B17">
        <v>0</v>
      </c>
      <c r="C17">
        <v>0</v>
      </c>
      <c r="D17">
        <v>26</v>
      </c>
      <c r="E17">
        <v>0</v>
      </c>
      <c r="F17">
        <v>17</v>
      </c>
      <c r="G17" s="48">
        <v>0</v>
      </c>
      <c r="H17">
        <f t="shared" si="0"/>
        <v>43</v>
      </c>
    </row>
    <row r="18" spans="1:11" x14ac:dyDescent="0.2">
      <c r="A18" s="4" t="s">
        <v>1058</v>
      </c>
      <c r="B18">
        <v>0</v>
      </c>
      <c r="C18">
        <v>1</v>
      </c>
      <c r="D18">
        <v>4</v>
      </c>
      <c r="E18">
        <v>0</v>
      </c>
      <c r="F18">
        <v>10</v>
      </c>
      <c r="G18" s="48">
        <v>0</v>
      </c>
      <c r="H18">
        <f t="shared" si="0"/>
        <v>15</v>
      </c>
    </row>
    <row r="19" spans="1:11" x14ac:dyDescent="0.2">
      <c r="A19" s="4" t="s">
        <v>1059</v>
      </c>
      <c r="B19">
        <v>0</v>
      </c>
      <c r="C19">
        <v>0</v>
      </c>
      <c r="D19">
        <v>9</v>
      </c>
      <c r="E19">
        <v>1</v>
      </c>
      <c r="F19">
        <v>2</v>
      </c>
      <c r="G19" s="48">
        <v>1</v>
      </c>
      <c r="H19">
        <f t="shared" si="0"/>
        <v>13</v>
      </c>
    </row>
    <row r="20" spans="1:11" x14ac:dyDescent="0.2">
      <c r="A20" s="4" t="s">
        <v>1124</v>
      </c>
      <c r="B20">
        <v>0</v>
      </c>
      <c r="C20">
        <v>0</v>
      </c>
      <c r="D20">
        <v>2</v>
      </c>
      <c r="E20">
        <v>1</v>
      </c>
      <c r="F20">
        <v>3</v>
      </c>
      <c r="G20" s="48">
        <v>0</v>
      </c>
      <c r="H20">
        <f t="shared" si="0"/>
        <v>6</v>
      </c>
    </row>
    <row r="21" spans="1:11" x14ac:dyDescent="0.2">
      <c r="A21" s="63" t="s">
        <v>1185</v>
      </c>
      <c r="B21" s="49">
        <v>0</v>
      </c>
      <c r="C21" s="49">
        <v>1</v>
      </c>
      <c r="D21" s="49">
        <v>6</v>
      </c>
      <c r="E21" s="49">
        <v>4</v>
      </c>
      <c r="F21" s="49">
        <v>5</v>
      </c>
      <c r="G21" s="50">
        <v>1</v>
      </c>
      <c r="H21" s="49">
        <f t="shared" si="0"/>
        <v>17</v>
      </c>
    </row>
    <row r="22" spans="1:11" x14ac:dyDescent="0.2">
      <c r="A22" s="64" t="s">
        <v>1315</v>
      </c>
      <c r="B22" s="65">
        <f t="shared" ref="B22:G22" si="1">SUM(B5:B21)</f>
        <v>1</v>
      </c>
      <c r="C22" s="65">
        <f t="shared" si="1"/>
        <v>4</v>
      </c>
      <c r="D22" s="65">
        <f t="shared" si="1"/>
        <v>137</v>
      </c>
      <c r="E22" s="65">
        <f t="shared" si="1"/>
        <v>72</v>
      </c>
      <c r="F22" s="65">
        <f t="shared" si="1"/>
        <v>76</v>
      </c>
      <c r="G22" s="66">
        <f t="shared" si="1"/>
        <v>3</v>
      </c>
      <c r="H22" s="65">
        <f t="shared" si="0"/>
        <v>293</v>
      </c>
    </row>
    <row r="25" spans="1:11" x14ac:dyDescent="0.2">
      <c r="A25" t="s">
        <v>1334</v>
      </c>
    </row>
    <row r="26" spans="1:11" x14ac:dyDescent="0.2">
      <c r="A26" s="47" t="s">
        <v>1294</v>
      </c>
    </row>
    <row r="27" spans="1:11" x14ac:dyDescent="0.2">
      <c r="A27" s="67"/>
      <c r="B27" s="67"/>
      <c r="C27" s="67"/>
      <c r="D27" s="67"/>
      <c r="E27" s="67" t="s">
        <v>1316</v>
      </c>
      <c r="F27" s="67"/>
      <c r="G27" s="67"/>
      <c r="H27" s="67"/>
      <c r="I27" s="67"/>
      <c r="J27" s="67"/>
      <c r="K27" s="67"/>
    </row>
    <row r="28" spans="1:11" ht="16" thickBot="1" x14ac:dyDescent="0.25">
      <c r="A28" s="68" t="s">
        <v>1241</v>
      </c>
      <c r="B28" s="68" t="s">
        <v>1317</v>
      </c>
      <c r="C28" s="68" t="s">
        <v>1318</v>
      </c>
      <c r="D28" s="68" t="s">
        <v>1319</v>
      </c>
      <c r="E28" s="68" t="s">
        <v>1309</v>
      </c>
      <c r="F28" s="68" t="s">
        <v>1310</v>
      </c>
      <c r="G28" s="68" t="s">
        <v>1311</v>
      </c>
      <c r="H28" s="68" t="s">
        <v>1312</v>
      </c>
      <c r="I28" s="68" t="s">
        <v>1313</v>
      </c>
      <c r="J28" s="68" t="s">
        <v>1314</v>
      </c>
      <c r="K28" s="68" t="s">
        <v>1320</v>
      </c>
    </row>
    <row r="29" spans="1:11" x14ac:dyDescent="0.2">
      <c r="A29" t="s">
        <v>352</v>
      </c>
      <c r="B29" t="s">
        <v>1321</v>
      </c>
      <c r="C29">
        <v>14</v>
      </c>
      <c r="D29">
        <v>30</v>
      </c>
      <c r="E29">
        <v>0</v>
      </c>
      <c r="F29">
        <v>0</v>
      </c>
      <c r="G29">
        <f>5/D29</f>
        <v>0.16666666666666666</v>
      </c>
      <c r="H29">
        <f>8/D29</f>
        <v>0.26666666666666666</v>
      </c>
      <c r="I29">
        <f>2/D29</f>
        <v>6.6666666666666666E-2</v>
      </c>
      <c r="J29">
        <v>0</v>
      </c>
      <c r="K29">
        <f>(G29+I29)/SUM(E29:J29)*100</f>
        <v>46.666666666666664</v>
      </c>
    </row>
    <row r="30" spans="1:11" x14ac:dyDescent="0.2">
      <c r="A30" t="s">
        <v>612</v>
      </c>
      <c r="B30" t="s">
        <v>1322</v>
      </c>
      <c r="C30">
        <v>21</v>
      </c>
      <c r="D30">
        <v>30</v>
      </c>
      <c r="E30">
        <f>1/30</f>
        <v>3.3333333333333333E-2</v>
      </c>
      <c r="F30">
        <v>0</v>
      </c>
      <c r="G30">
        <f>17/30</f>
        <v>0.56666666666666665</v>
      </c>
      <c r="H30">
        <f>23/30</f>
        <v>0.76666666666666672</v>
      </c>
      <c r="I30">
        <f>14/30</f>
        <v>0.46666666666666667</v>
      </c>
      <c r="J30">
        <v>0</v>
      </c>
      <c r="K30">
        <f>(G30+I30)/SUM(E30:J30)*100</f>
        <v>56.363636363636346</v>
      </c>
    </row>
    <row r="31" spans="1:11" x14ac:dyDescent="0.2">
      <c r="A31" t="s">
        <v>816</v>
      </c>
      <c r="B31" t="s">
        <v>1323</v>
      </c>
      <c r="C31">
        <v>22</v>
      </c>
      <c r="D31">
        <v>30</v>
      </c>
      <c r="E31">
        <v>0</v>
      </c>
      <c r="F31">
        <v>0</v>
      </c>
      <c r="G31">
        <f>7/30</f>
        <v>0.23333333333333334</v>
      </c>
      <c r="H31">
        <f>1/30</f>
        <v>3.3333333333333333E-2</v>
      </c>
      <c r="I31">
        <v>0</v>
      </c>
      <c r="J31">
        <v>0</v>
      </c>
      <c r="K31">
        <f>G31/SUM(E31:J31)*100</f>
        <v>87.5</v>
      </c>
    </row>
    <row r="32" spans="1:11" x14ac:dyDescent="0.2">
      <c r="A32" t="s">
        <v>753</v>
      </c>
      <c r="B32" t="s">
        <v>1324</v>
      </c>
      <c r="C32">
        <v>26</v>
      </c>
      <c r="D32">
        <v>30</v>
      </c>
      <c r="E32">
        <v>0</v>
      </c>
      <c r="F32">
        <v>0</v>
      </c>
      <c r="G32">
        <f>24/30</f>
        <v>0.8</v>
      </c>
      <c r="H32">
        <f>4/30</f>
        <v>0.13333333333333333</v>
      </c>
      <c r="I32">
        <f>1/30</f>
        <v>3.3333333333333333E-2</v>
      </c>
      <c r="J32">
        <v>0</v>
      </c>
      <c r="K32">
        <f t="shared" ref="K32:K40" si="2">(G32+I32)/SUM(E32:J32)*100</f>
        <v>86.206896551724142</v>
      </c>
    </row>
    <row r="33" spans="1:11" x14ac:dyDescent="0.2">
      <c r="A33" t="s">
        <v>815</v>
      </c>
      <c r="B33" t="s">
        <v>1325</v>
      </c>
      <c r="C33">
        <v>29</v>
      </c>
      <c r="D33">
        <v>30</v>
      </c>
      <c r="E33">
        <v>0</v>
      </c>
      <c r="F33">
        <v>0</v>
      </c>
      <c r="G33">
        <f>1/30</f>
        <v>3.3333333333333333E-2</v>
      </c>
      <c r="H33">
        <f>1/30</f>
        <v>3.3333333333333333E-2</v>
      </c>
      <c r="I33">
        <f>3/30</f>
        <v>0.1</v>
      </c>
      <c r="J33">
        <v>0</v>
      </c>
      <c r="K33">
        <f t="shared" si="2"/>
        <v>80</v>
      </c>
    </row>
    <row r="34" spans="1:11" x14ac:dyDescent="0.2">
      <c r="A34" t="s">
        <v>1059</v>
      </c>
      <c r="B34" t="s">
        <v>1326</v>
      </c>
      <c r="C34">
        <v>45</v>
      </c>
      <c r="D34">
        <v>30</v>
      </c>
      <c r="E34">
        <v>0</v>
      </c>
      <c r="F34">
        <v>0</v>
      </c>
      <c r="G34">
        <f>9/30</f>
        <v>0.3</v>
      </c>
      <c r="H34">
        <f>1/30</f>
        <v>3.3333333333333333E-2</v>
      </c>
      <c r="I34">
        <f>2/30</f>
        <v>6.6666666666666666E-2</v>
      </c>
      <c r="J34">
        <f>1/30</f>
        <v>3.3333333333333333E-2</v>
      </c>
      <c r="K34">
        <f t="shared" si="2"/>
        <v>84.615384615384613</v>
      </c>
    </row>
    <row r="35" spans="1:11" x14ac:dyDescent="0.2">
      <c r="A35" t="s">
        <v>645</v>
      </c>
      <c r="B35" t="s">
        <v>1327</v>
      </c>
      <c r="C35">
        <v>51</v>
      </c>
      <c r="D35">
        <v>30</v>
      </c>
      <c r="E35">
        <v>0</v>
      </c>
      <c r="F35">
        <f>1/30</f>
        <v>3.3333333333333333E-2</v>
      </c>
      <c r="G35">
        <f>6/30</f>
        <v>0.2</v>
      </c>
      <c r="H35">
        <f>1/30</f>
        <v>3.3333333333333333E-2</v>
      </c>
      <c r="I35">
        <v>0</v>
      </c>
      <c r="J35">
        <v>0</v>
      </c>
      <c r="K35">
        <f t="shared" si="2"/>
        <v>75</v>
      </c>
    </row>
    <row r="36" spans="1:11" x14ac:dyDescent="0.2">
      <c r="A36" t="s">
        <v>1124</v>
      </c>
      <c r="B36" t="s">
        <v>1328</v>
      </c>
      <c r="C36">
        <v>54</v>
      </c>
      <c r="D36">
        <v>30</v>
      </c>
      <c r="E36">
        <v>0</v>
      </c>
      <c r="F36">
        <v>0</v>
      </c>
      <c r="G36">
        <f>2/30</f>
        <v>6.6666666666666666E-2</v>
      </c>
      <c r="H36">
        <f>1/30</f>
        <v>3.3333333333333333E-2</v>
      </c>
      <c r="I36">
        <f>3/30</f>
        <v>0.1</v>
      </c>
      <c r="J36">
        <v>0</v>
      </c>
      <c r="K36">
        <f t="shared" si="2"/>
        <v>83.333333333333343</v>
      </c>
    </row>
    <row r="37" spans="1:11" x14ac:dyDescent="0.2">
      <c r="A37" t="s">
        <v>768</v>
      </c>
      <c r="B37" t="s">
        <v>1329</v>
      </c>
      <c r="C37">
        <v>62</v>
      </c>
      <c r="D37">
        <v>30</v>
      </c>
      <c r="E37">
        <v>0</v>
      </c>
      <c r="F37">
        <v>0</v>
      </c>
      <c r="G37">
        <f>2/30</f>
        <v>6.6666666666666666E-2</v>
      </c>
      <c r="H37">
        <f>1/30</f>
        <v>3.3333333333333333E-2</v>
      </c>
      <c r="I37">
        <f>3/30</f>
        <v>0.1</v>
      </c>
      <c r="J37">
        <f>1/30</f>
        <v>3.3333333333333333E-2</v>
      </c>
      <c r="K37">
        <f t="shared" si="2"/>
        <v>71.428571428571431</v>
      </c>
    </row>
    <row r="38" spans="1:11" x14ac:dyDescent="0.2">
      <c r="A38" t="s">
        <v>1058</v>
      </c>
      <c r="B38" t="s">
        <v>1330</v>
      </c>
      <c r="C38">
        <v>76</v>
      </c>
      <c r="D38">
        <v>30</v>
      </c>
      <c r="E38">
        <v>0</v>
      </c>
      <c r="F38">
        <f>1/30</f>
        <v>3.3333333333333333E-2</v>
      </c>
      <c r="G38">
        <f>4/30</f>
        <v>0.13333333333333333</v>
      </c>
      <c r="H38">
        <v>0</v>
      </c>
      <c r="I38">
        <f>10/30</f>
        <v>0.33333333333333331</v>
      </c>
      <c r="J38">
        <v>0</v>
      </c>
      <c r="K38">
        <f t="shared" si="2"/>
        <v>93.333333333333329</v>
      </c>
    </row>
    <row r="39" spans="1:11" x14ac:dyDescent="0.2">
      <c r="A39" t="s">
        <v>847</v>
      </c>
      <c r="B39" t="s">
        <v>1331</v>
      </c>
      <c r="C39">
        <v>80</v>
      </c>
      <c r="D39">
        <v>30</v>
      </c>
      <c r="E39">
        <v>0</v>
      </c>
      <c r="F39">
        <v>0</v>
      </c>
      <c r="G39">
        <f>26/30</f>
        <v>0.8666666666666667</v>
      </c>
      <c r="H39">
        <v>0</v>
      </c>
      <c r="I39">
        <f>17/30</f>
        <v>0.56666666666666665</v>
      </c>
      <c r="J39">
        <v>0</v>
      </c>
      <c r="K39">
        <f t="shared" si="2"/>
        <v>100</v>
      </c>
    </row>
    <row r="40" spans="1:11" x14ac:dyDescent="0.2">
      <c r="A40" s="49" t="s">
        <v>387</v>
      </c>
      <c r="B40" s="49" t="s">
        <v>1332</v>
      </c>
      <c r="C40" s="49">
        <v>98</v>
      </c>
      <c r="D40" s="49">
        <v>30</v>
      </c>
      <c r="E40" s="49">
        <v>0</v>
      </c>
      <c r="F40" s="49">
        <f>1/D40</f>
        <v>3.3333333333333333E-2</v>
      </c>
      <c r="G40" s="49">
        <f>3/D40</f>
        <v>0.1</v>
      </c>
      <c r="H40" s="49">
        <f>1/D40</f>
        <v>3.3333333333333333E-2</v>
      </c>
      <c r="I40" s="49">
        <f>3/D40</f>
        <v>0.1</v>
      </c>
      <c r="J40" s="49">
        <v>0</v>
      </c>
      <c r="K40" s="49">
        <f t="shared" si="2"/>
        <v>75</v>
      </c>
    </row>
    <row r="43" spans="1:11" x14ac:dyDescent="0.2">
      <c r="A43" s="67"/>
      <c r="B43" s="67"/>
      <c r="C43" s="67"/>
      <c r="D43" s="67"/>
      <c r="E43" s="67" t="s">
        <v>1333</v>
      </c>
      <c r="F43" s="67"/>
      <c r="G43" s="67"/>
      <c r="H43" s="67"/>
      <c r="I43" s="67"/>
      <c r="J43" s="67"/>
      <c r="K43" s="67"/>
    </row>
    <row r="44" spans="1:11" ht="16" thickBot="1" x14ac:dyDescent="0.25">
      <c r="A44" s="68" t="s">
        <v>1241</v>
      </c>
      <c r="B44" s="68" t="s">
        <v>1317</v>
      </c>
      <c r="C44" s="68" t="s">
        <v>1318</v>
      </c>
      <c r="D44" s="68" t="s">
        <v>1319</v>
      </c>
      <c r="E44" s="68" t="s">
        <v>1309</v>
      </c>
      <c r="F44" s="68" t="s">
        <v>1310</v>
      </c>
      <c r="G44" s="68" t="s">
        <v>1311</v>
      </c>
      <c r="H44" s="68" t="s">
        <v>1312</v>
      </c>
      <c r="I44" s="68" t="s">
        <v>1313</v>
      </c>
      <c r="J44" s="68" t="s">
        <v>1314</v>
      </c>
      <c r="K44" s="68" t="s">
        <v>1320</v>
      </c>
    </row>
    <row r="45" spans="1:11" x14ac:dyDescent="0.2">
      <c r="A45" t="s">
        <v>352</v>
      </c>
      <c r="B45" t="s">
        <v>1321</v>
      </c>
      <c r="C45">
        <v>14</v>
      </c>
      <c r="D45">
        <v>30</v>
      </c>
      <c r="E45">
        <v>0</v>
      </c>
      <c r="F45">
        <v>0</v>
      </c>
      <c r="G45">
        <f>526.60632/D45</f>
        <v>17.553543999999999</v>
      </c>
      <c r="H45">
        <f>533.79214/D45</f>
        <v>17.793071333333334</v>
      </c>
      <c r="I45">
        <f>89.51129/D45</f>
        <v>2.9837096666666669</v>
      </c>
      <c r="J45">
        <v>0</v>
      </c>
      <c r="K45">
        <f>(G45+I45)/SUM(E45:J45)*100</f>
        <v>53.57964918551216</v>
      </c>
    </row>
    <row r="46" spans="1:11" x14ac:dyDescent="0.2">
      <c r="A46" t="s">
        <v>612</v>
      </c>
      <c r="B46" t="s">
        <v>1322</v>
      </c>
      <c r="C46">
        <v>21</v>
      </c>
      <c r="D46">
        <v>30</v>
      </c>
      <c r="E46">
        <f>362.57881/30</f>
        <v>12.085960333333333</v>
      </c>
      <c r="F46">
        <v>0</v>
      </c>
      <c r="G46">
        <f>765.73611/30</f>
        <v>25.524537000000002</v>
      </c>
      <c r="H46">
        <f>1971.78317/30</f>
        <v>65.726105666666669</v>
      </c>
      <c r="I46">
        <f>297.81146/30</f>
        <v>9.9270486666666677</v>
      </c>
      <c r="J46">
        <v>0</v>
      </c>
      <c r="K46">
        <f>(G46+I46)/SUM(E46:J46)*100</f>
        <v>31.300055353150892</v>
      </c>
    </row>
    <row r="47" spans="1:11" x14ac:dyDescent="0.2">
      <c r="A47" t="s">
        <v>816</v>
      </c>
      <c r="B47" t="s">
        <v>1323</v>
      </c>
      <c r="C47">
        <v>22</v>
      </c>
      <c r="D47">
        <v>30</v>
      </c>
      <c r="E47">
        <v>0</v>
      </c>
      <c r="F47">
        <v>0</v>
      </c>
      <c r="G47">
        <f>3342.34085/30</f>
        <v>111.41136166666666</v>
      </c>
      <c r="H47">
        <f>39.5553/30</f>
        <v>1.3185100000000001</v>
      </c>
      <c r="I47">
        <v>0</v>
      </c>
      <c r="J47">
        <v>0</v>
      </c>
      <c r="K47">
        <f>G47/SUM(E47:J47)*100</f>
        <v>98.830380997949916</v>
      </c>
    </row>
    <row r="48" spans="1:11" x14ac:dyDescent="0.2">
      <c r="A48" t="s">
        <v>753</v>
      </c>
      <c r="B48" t="s">
        <v>1324</v>
      </c>
      <c r="C48">
        <v>26</v>
      </c>
      <c r="D48">
        <v>30</v>
      </c>
      <c r="E48">
        <v>0</v>
      </c>
      <c r="F48">
        <v>0</v>
      </c>
      <c r="G48">
        <f>382.85122/30</f>
        <v>12.761707333333334</v>
      </c>
      <c r="H48">
        <f>284.0321/30</f>
        <v>9.4677366666666671</v>
      </c>
      <c r="I48">
        <f>75.71274/30</f>
        <v>2.5237579999999999</v>
      </c>
      <c r="J48">
        <v>0</v>
      </c>
      <c r="K48">
        <f>(G48+I48)/SUM(E48:J48)*100</f>
        <v>61.751466874198066</v>
      </c>
    </row>
    <row r="49" spans="1:11" x14ac:dyDescent="0.2">
      <c r="A49" t="s">
        <v>815</v>
      </c>
      <c r="B49" t="s">
        <v>1325</v>
      </c>
      <c r="C49">
        <v>29</v>
      </c>
      <c r="D49">
        <v>30</v>
      </c>
      <c r="E49">
        <v>0</v>
      </c>
      <c r="F49">
        <v>0</v>
      </c>
      <c r="G49">
        <f>7.20205/30</f>
        <v>0.24006833333333333</v>
      </c>
      <c r="H49">
        <f>5.13554/30</f>
        <v>0.17118466666666665</v>
      </c>
      <c r="I49">
        <f>56.19232/30</f>
        <v>1.8730773333333335</v>
      </c>
      <c r="J49">
        <v>0</v>
      </c>
      <c r="K49">
        <f t="shared" ref="K49:K54" si="3">(G49+I49)/SUM(E49:J49)*100</f>
        <v>92.506133453261512</v>
      </c>
    </row>
    <row r="50" spans="1:11" x14ac:dyDescent="0.2">
      <c r="A50" t="s">
        <v>1059</v>
      </c>
      <c r="B50" t="s">
        <v>1326</v>
      </c>
      <c r="C50">
        <v>45</v>
      </c>
      <c r="D50">
        <v>30</v>
      </c>
      <c r="E50">
        <v>0</v>
      </c>
      <c r="F50">
        <v>0</v>
      </c>
      <c r="G50">
        <f>2603.2276/30</f>
        <v>86.774253333333334</v>
      </c>
      <c r="H50">
        <f>127.937/30</f>
        <v>4.2645666666666662</v>
      </c>
      <c r="I50">
        <f>138.76239/30</f>
        <v>4.625413</v>
      </c>
      <c r="J50">
        <f>2961.9555/30</f>
        <v>98.731849999999994</v>
      </c>
      <c r="K50">
        <f t="shared" si="3"/>
        <v>47.017236624738644</v>
      </c>
    </row>
    <row r="51" spans="1:11" x14ac:dyDescent="0.2">
      <c r="A51" t="s">
        <v>645</v>
      </c>
      <c r="B51" t="s">
        <v>1327</v>
      </c>
      <c r="C51">
        <v>51</v>
      </c>
      <c r="D51">
        <v>30</v>
      </c>
      <c r="E51">
        <v>0</v>
      </c>
      <c r="F51">
        <f>8.23844/30</f>
        <v>0.27461466666666667</v>
      </c>
      <c r="G51">
        <f>185.34357/30</f>
        <v>6.1781189999999997</v>
      </c>
      <c r="H51">
        <f>17.2768/30</f>
        <v>0.57589333333333337</v>
      </c>
      <c r="I51">
        <v>0</v>
      </c>
      <c r="J51">
        <v>0</v>
      </c>
      <c r="K51">
        <f t="shared" si="3"/>
        <v>87.899372096427939</v>
      </c>
    </row>
    <row r="52" spans="1:11" x14ac:dyDescent="0.2">
      <c r="A52" t="s">
        <v>1124</v>
      </c>
      <c r="B52" t="s">
        <v>1328</v>
      </c>
      <c r="C52">
        <v>54</v>
      </c>
      <c r="D52">
        <v>30</v>
      </c>
      <c r="E52">
        <v>0</v>
      </c>
      <c r="F52">
        <v>0</v>
      </c>
      <c r="G52">
        <f>34.63581/30</f>
        <v>1.1545270000000001</v>
      </c>
      <c r="H52">
        <f>206.19555/30</f>
        <v>6.8731850000000003</v>
      </c>
      <c r="I52">
        <f>91.73866/30</f>
        <v>3.0579553333333331</v>
      </c>
      <c r="J52">
        <v>0</v>
      </c>
      <c r="K52">
        <f t="shared" si="3"/>
        <v>37.999357248136796</v>
      </c>
    </row>
    <row r="53" spans="1:11" x14ac:dyDescent="0.2">
      <c r="A53" t="s">
        <v>768</v>
      </c>
      <c r="B53" t="s">
        <v>1329</v>
      </c>
      <c r="C53">
        <v>62</v>
      </c>
      <c r="D53">
        <v>30</v>
      </c>
      <c r="E53">
        <v>0</v>
      </c>
      <c r="F53">
        <v>0</v>
      </c>
      <c r="G53">
        <f>47.0608/30</f>
        <v>1.5686933333333333</v>
      </c>
      <c r="H53">
        <f>27.28273/30</f>
        <v>0.90942433333333339</v>
      </c>
      <c r="I53">
        <f>335.02677/30</f>
        <v>11.167559000000001</v>
      </c>
      <c r="J53">
        <f>32.51844/30</f>
        <v>1.0839479999999999</v>
      </c>
      <c r="K53">
        <f t="shared" si="3"/>
        <v>86.466916989104561</v>
      </c>
    </row>
    <row r="54" spans="1:11" x14ac:dyDescent="0.2">
      <c r="A54" t="s">
        <v>1058</v>
      </c>
      <c r="B54" t="s">
        <v>1330</v>
      </c>
      <c r="C54">
        <v>76</v>
      </c>
      <c r="D54">
        <v>30</v>
      </c>
      <c r="E54">
        <v>0</v>
      </c>
      <c r="F54">
        <f>84.88509/30</f>
        <v>2.8295030000000003</v>
      </c>
      <c r="G54">
        <f>641.888/30</f>
        <v>21.396266666666669</v>
      </c>
      <c r="H54">
        <v>0</v>
      </c>
      <c r="I54">
        <f>22755.82997/30</f>
        <v>758.52766566666662</v>
      </c>
      <c r="J54">
        <v>0</v>
      </c>
      <c r="K54">
        <f t="shared" si="3"/>
        <v>99.638519248555568</v>
      </c>
    </row>
    <row r="55" spans="1:11" x14ac:dyDescent="0.2">
      <c r="A55" t="s">
        <v>847</v>
      </c>
      <c r="B55" t="s">
        <v>1331</v>
      </c>
      <c r="C55">
        <v>80</v>
      </c>
      <c r="D55">
        <v>30</v>
      </c>
      <c r="E55">
        <v>0</v>
      </c>
      <c r="F55">
        <v>0</v>
      </c>
      <c r="G55">
        <f>887.16842/30</f>
        <v>29.572280666666664</v>
      </c>
      <c r="H55">
        <v>0</v>
      </c>
      <c r="I55">
        <f>459.39371/30</f>
        <v>15.313123666666666</v>
      </c>
      <c r="J55">
        <v>0</v>
      </c>
      <c r="K55">
        <f>(G55+I55)/SUM(F55:J55)*100</f>
        <v>100</v>
      </c>
    </row>
    <row r="56" spans="1:11" x14ac:dyDescent="0.2">
      <c r="A56" s="49" t="s">
        <v>387</v>
      </c>
      <c r="B56" s="49" t="s">
        <v>1332</v>
      </c>
      <c r="C56" s="49">
        <v>98</v>
      </c>
      <c r="D56" s="49">
        <v>30</v>
      </c>
      <c r="E56" s="49">
        <v>0</v>
      </c>
      <c r="F56" s="49">
        <f>1.28289/D56</f>
        <v>4.2763000000000002E-2</v>
      </c>
      <c r="G56" s="49">
        <f>24.09302/D56</f>
        <v>0.80310066666666668</v>
      </c>
      <c r="H56" s="49">
        <f>33.10114/D56</f>
        <v>1.1033713333333333</v>
      </c>
      <c r="I56" s="49">
        <f>191.826/D56</f>
        <v>6.3941999999999997</v>
      </c>
      <c r="J56" s="49">
        <v>0</v>
      </c>
      <c r="K56" s="49">
        <f>(G56+I56)/SUM(E56:J56)*100</f>
        <v>86.263039942981109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361E-7235-4228-B61F-5B2C70E41D15}">
  <dimension ref="A1:C298"/>
  <sheetViews>
    <sheetView workbookViewId="0">
      <selection activeCell="G14" sqref="G14"/>
    </sheetView>
  </sheetViews>
  <sheetFormatPr baseColWidth="10" defaultColWidth="8.83203125" defaultRowHeight="15" x14ac:dyDescent="0.2"/>
  <cols>
    <col min="2" max="2" width="13.1640625" bestFit="1" customWidth="1"/>
    <col min="3" max="3" width="29.83203125" bestFit="1" customWidth="1"/>
  </cols>
  <sheetData>
    <row r="1" spans="1:3" x14ac:dyDescent="0.2">
      <c r="A1" s="47" t="s">
        <v>1248</v>
      </c>
    </row>
    <row r="3" spans="1:3" ht="16" thickBot="1" x14ac:dyDescent="0.25">
      <c r="A3" s="68" t="s">
        <v>1241</v>
      </c>
      <c r="B3" s="68" t="s">
        <v>1335</v>
      </c>
      <c r="C3" s="68" t="s">
        <v>1336</v>
      </c>
    </row>
    <row r="4" spans="1:3" x14ac:dyDescent="0.2">
      <c r="A4" t="s">
        <v>1185</v>
      </c>
      <c r="B4" t="s">
        <v>1337</v>
      </c>
      <c r="C4">
        <v>67.099999999999994</v>
      </c>
    </row>
    <row r="5" spans="1:3" x14ac:dyDescent="0.2">
      <c r="A5" t="s">
        <v>1185</v>
      </c>
      <c r="B5" t="s">
        <v>1337</v>
      </c>
      <c r="C5">
        <v>33.5</v>
      </c>
    </row>
    <row r="6" spans="1:3" x14ac:dyDescent="0.2">
      <c r="A6" t="s">
        <v>1185</v>
      </c>
      <c r="B6" t="s">
        <v>1337</v>
      </c>
      <c r="C6">
        <v>30.1</v>
      </c>
    </row>
    <row r="7" spans="1:3" x14ac:dyDescent="0.2">
      <c r="A7" t="s">
        <v>1185</v>
      </c>
      <c r="B7" t="s">
        <v>1337</v>
      </c>
      <c r="C7">
        <v>64.5</v>
      </c>
    </row>
    <row r="8" spans="1:3" x14ac:dyDescent="0.2">
      <c r="A8" t="s">
        <v>1185</v>
      </c>
      <c r="B8" t="s">
        <v>1337</v>
      </c>
      <c r="C8">
        <v>54.5</v>
      </c>
    </row>
    <row r="9" spans="1:3" x14ac:dyDescent="0.2">
      <c r="A9" t="s">
        <v>1185</v>
      </c>
      <c r="B9" t="s">
        <v>1337</v>
      </c>
      <c r="C9">
        <v>257.60000000000002</v>
      </c>
    </row>
    <row r="10" spans="1:3" x14ac:dyDescent="0.2">
      <c r="A10" t="s">
        <v>1185</v>
      </c>
      <c r="B10" t="s">
        <v>1337</v>
      </c>
      <c r="C10">
        <v>640.20000000000005</v>
      </c>
    </row>
    <row r="11" spans="1:3" x14ac:dyDescent="0.2">
      <c r="A11" t="s">
        <v>1185</v>
      </c>
      <c r="B11" t="s">
        <v>1337</v>
      </c>
      <c r="C11">
        <v>87.6</v>
      </c>
    </row>
    <row r="12" spans="1:3" x14ac:dyDescent="0.2">
      <c r="A12" t="s">
        <v>1185</v>
      </c>
      <c r="B12" t="s">
        <v>1337</v>
      </c>
      <c r="C12">
        <v>163.4</v>
      </c>
    </row>
    <row r="13" spans="1:3" x14ac:dyDescent="0.2">
      <c r="A13" t="s">
        <v>1185</v>
      </c>
      <c r="B13" t="s">
        <v>1337</v>
      </c>
      <c r="C13">
        <v>45.2</v>
      </c>
    </row>
    <row r="14" spans="1:3" x14ac:dyDescent="0.2">
      <c r="A14" t="s">
        <v>1185</v>
      </c>
      <c r="B14" t="s">
        <v>1337</v>
      </c>
      <c r="C14">
        <v>100</v>
      </c>
    </row>
    <row r="15" spans="1:3" x14ac:dyDescent="0.2">
      <c r="A15" t="s">
        <v>1185</v>
      </c>
      <c r="B15" t="s">
        <v>1337</v>
      </c>
      <c r="C15">
        <v>63.6</v>
      </c>
    </row>
    <row r="16" spans="1:3" x14ac:dyDescent="0.2">
      <c r="A16" t="s">
        <v>1185</v>
      </c>
      <c r="B16" t="s">
        <v>1337</v>
      </c>
      <c r="C16">
        <v>124.9</v>
      </c>
    </row>
    <row r="17" spans="1:3" x14ac:dyDescent="0.2">
      <c r="A17" t="s">
        <v>1185</v>
      </c>
      <c r="B17" t="s">
        <v>1337</v>
      </c>
      <c r="C17">
        <v>172.4</v>
      </c>
    </row>
    <row r="18" spans="1:3" x14ac:dyDescent="0.2">
      <c r="A18" t="s">
        <v>1185</v>
      </c>
      <c r="B18" t="s">
        <v>1337</v>
      </c>
      <c r="C18">
        <v>66.099999999999994</v>
      </c>
    </row>
    <row r="19" spans="1:3" x14ac:dyDescent="0.2">
      <c r="A19" t="s">
        <v>1185</v>
      </c>
      <c r="B19" t="s">
        <v>1337</v>
      </c>
      <c r="C19">
        <v>70</v>
      </c>
    </row>
    <row r="20" spans="1:3" x14ac:dyDescent="0.2">
      <c r="A20" s="49" t="s">
        <v>1185</v>
      </c>
      <c r="B20" s="49" t="s">
        <v>1337</v>
      </c>
      <c r="C20" s="49">
        <v>56.2</v>
      </c>
    </row>
    <row r="21" spans="1:3" x14ac:dyDescent="0.2">
      <c r="A21" t="s">
        <v>289</v>
      </c>
      <c r="B21" t="s">
        <v>1338</v>
      </c>
      <c r="C21">
        <v>116.5</v>
      </c>
    </row>
    <row r="22" spans="1:3" x14ac:dyDescent="0.2">
      <c r="A22" t="s">
        <v>289</v>
      </c>
      <c r="B22" t="s">
        <v>1338</v>
      </c>
      <c r="C22">
        <v>109.1</v>
      </c>
    </row>
    <row r="23" spans="1:3" x14ac:dyDescent="0.2">
      <c r="A23" t="s">
        <v>289</v>
      </c>
      <c r="B23" t="s">
        <v>1338</v>
      </c>
      <c r="C23">
        <v>128.19999999999999</v>
      </c>
    </row>
    <row r="24" spans="1:3" x14ac:dyDescent="0.2">
      <c r="A24" t="s">
        <v>289</v>
      </c>
      <c r="B24" t="s">
        <v>1338</v>
      </c>
      <c r="C24">
        <v>66.599999999999994</v>
      </c>
    </row>
    <row r="25" spans="1:3" x14ac:dyDescent="0.2">
      <c r="A25" t="s">
        <v>289</v>
      </c>
      <c r="B25" t="s">
        <v>1338</v>
      </c>
      <c r="C25">
        <v>73.5</v>
      </c>
    </row>
    <row r="26" spans="1:3" x14ac:dyDescent="0.2">
      <c r="A26" t="s">
        <v>289</v>
      </c>
      <c r="B26" t="s">
        <v>1338</v>
      </c>
      <c r="C26">
        <v>723.6</v>
      </c>
    </row>
    <row r="27" spans="1:3" x14ac:dyDescent="0.2">
      <c r="A27" t="s">
        <v>289</v>
      </c>
      <c r="B27" t="s">
        <v>1338</v>
      </c>
      <c r="C27">
        <v>40.299999999999997</v>
      </c>
    </row>
    <row r="28" spans="1:3" x14ac:dyDescent="0.2">
      <c r="A28" t="s">
        <v>289</v>
      </c>
      <c r="B28" t="s">
        <v>1338</v>
      </c>
      <c r="C28">
        <v>246.4</v>
      </c>
    </row>
    <row r="29" spans="1:3" x14ac:dyDescent="0.2">
      <c r="A29" t="s">
        <v>289</v>
      </c>
      <c r="B29" t="s">
        <v>1338</v>
      </c>
      <c r="C29">
        <v>173.4</v>
      </c>
    </row>
    <row r="30" spans="1:3" x14ac:dyDescent="0.2">
      <c r="A30" t="s">
        <v>289</v>
      </c>
      <c r="B30" t="s">
        <v>1338</v>
      </c>
      <c r="C30">
        <v>236</v>
      </c>
    </row>
    <row r="31" spans="1:3" x14ac:dyDescent="0.2">
      <c r="A31" t="s">
        <v>289</v>
      </c>
      <c r="B31" t="s">
        <v>1338</v>
      </c>
      <c r="C31">
        <v>63.8</v>
      </c>
    </row>
    <row r="32" spans="1:3" x14ac:dyDescent="0.2">
      <c r="A32" t="s">
        <v>289</v>
      </c>
      <c r="B32" t="s">
        <v>1338</v>
      </c>
      <c r="C32">
        <v>109.1</v>
      </c>
    </row>
    <row r="33" spans="1:3" x14ac:dyDescent="0.2">
      <c r="A33" t="s">
        <v>289</v>
      </c>
      <c r="B33" t="s">
        <v>1338</v>
      </c>
      <c r="C33">
        <v>112.8</v>
      </c>
    </row>
    <row r="34" spans="1:3" x14ac:dyDescent="0.2">
      <c r="A34" t="s">
        <v>289</v>
      </c>
      <c r="B34" t="s">
        <v>1338</v>
      </c>
      <c r="C34">
        <v>30.1</v>
      </c>
    </row>
    <row r="35" spans="1:3" x14ac:dyDescent="0.2">
      <c r="A35" t="s">
        <v>289</v>
      </c>
      <c r="B35" t="s">
        <v>1338</v>
      </c>
      <c r="C35">
        <v>149.5</v>
      </c>
    </row>
    <row r="36" spans="1:3" x14ac:dyDescent="0.2">
      <c r="A36" t="s">
        <v>289</v>
      </c>
      <c r="B36" t="s">
        <v>1338</v>
      </c>
      <c r="C36">
        <v>209.9</v>
      </c>
    </row>
    <row r="37" spans="1:3" x14ac:dyDescent="0.2">
      <c r="A37" s="49" t="s">
        <v>289</v>
      </c>
      <c r="B37" s="49" t="s">
        <v>1338</v>
      </c>
      <c r="C37" s="49">
        <v>103</v>
      </c>
    </row>
    <row r="38" spans="1:3" x14ac:dyDescent="0.2">
      <c r="A38" t="s">
        <v>221</v>
      </c>
      <c r="B38" t="s">
        <v>1339</v>
      </c>
      <c r="C38">
        <v>238.1</v>
      </c>
    </row>
    <row r="39" spans="1:3" x14ac:dyDescent="0.2">
      <c r="A39" t="s">
        <v>221</v>
      </c>
      <c r="B39" t="s">
        <v>1339</v>
      </c>
      <c r="C39">
        <v>94.6</v>
      </c>
    </row>
    <row r="40" spans="1:3" x14ac:dyDescent="0.2">
      <c r="A40" t="s">
        <v>221</v>
      </c>
      <c r="B40" t="s">
        <v>1339</v>
      </c>
      <c r="C40">
        <v>61.6</v>
      </c>
    </row>
    <row r="41" spans="1:3" x14ac:dyDescent="0.2">
      <c r="A41" t="s">
        <v>221</v>
      </c>
      <c r="B41" t="s">
        <v>1339</v>
      </c>
      <c r="C41">
        <v>198.7</v>
      </c>
    </row>
    <row r="42" spans="1:3" x14ac:dyDescent="0.2">
      <c r="A42" t="s">
        <v>221</v>
      </c>
      <c r="B42" t="s">
        <v>1339</v>
      </c>
      <c r="C42">
        <v>294.60000000000002</v>
      </c>
    </row>
    <row r="43" spans="1:3" x14ac:dyDescent="0.2">
      <c r="A43" t="s">
        <v>221</v>
      </c>
      <c r="B43" t="s">
        <v>1339</v>
      </c>
      <c r="C43">
        <v>50.3</v>
      </c>
    </row>
    <row r="44" spans="1:3" x14ac:dyDescent="0.2">
      <c r="A44" t="s">
        <v>221</v>
      </c>
      <c r="B44" t="s">
        <v>1339</v>
      </c>
      <c r="C44">
        <v>225.7</v>
      </c>
    </row>
    <row r="45" spans="1:3" x14ac:dyDescent="0.2">
      <c r="A45" t="s">
        <v>221</v>
      </c>
      <c r="B45" t="s">
        <v>1339</v>
      </c>
      <c r="C45">
        <v>48.5</v>
      </c>
    </row>
    <row r="46" spans="1:3" x14ac:dyDescent="0.2">
      <c r="A46" t="s">
        <v>221</v>
      </c>
      <c r="B46" t="s">
        <v>1339</v>
      </c>
      <c r="C46">
        <v>91.9</v>
      </c>
    </row>
    <row r="47" spans="1:3" x14ac:dyDescent="0.2">
      <c r="A47" t="s">
        <v>221</v>
      </c>
      <c r="B47" t="s">
        <v>1339</v>
      </c>
      <c r="C47">
        <v>54.5</v>
      </c>
    </row>
    <row r="48" spans="1:3" x14ac:dyDescent="0.2">
      <c r="A48" t="s">
        <v>221</v>
      </c>
      <c r="B48" t="s">
        <v>1339</v>
      </c>
      <c r="C48">
        <v>56.2</v>
      </c>
    </row>
    <row r="49" spans="1:3" x14ac:dyDescent="0.2">
      <c r="A49" t="s">
        <v>221</v>
      </c>
      <c r="B49" t="s">
        <v>1339</v>
      </c>
      <c r="C49">
        <v>58.9</v>
      </c>
    </row>
    <row r="50" spans="1:3" x14ac:dyDescent="0.2">
      <c r="A50" t="s">
        <v>221</v>
      </c>
      <c r="B50" t="s">
        <v>1339</v>
      </c>
      <c r="C50">
        <v>184.4</v>
      </c>
    </row>
    <row r="51" spans="1:3" x14ac:dyDescent="0.2">
      <c r="A51" s="49" t="s">
        <v>221</v>
      </c>
      <c r="B51" s="49" t="s">
        <v>1339</v>
      </c>
      <c r="C51" s="49">
        <v>39</v>
      </c>
    </row>
    <row r="52" spans="1:3" x14ac:dyDescent="0.2">
      <c r="A52" t="s">
        <v>164</v>
      </c>
      <c r="B52" t="s">
        <v>1340</v>
      </c>
      <c r="C52">
        <v>164.7</v>
      </c>
    </row>
    <row r="53" spans="1:3" x14ac:dyDescent="0.2">
      <c r="A53" t="s">
        <v>164</v>
      </c>
      <c r="B53" t="s">
        <v>1340</v>
      </c>
      <c r="C53">
        <v>30.1</v>
      </c>
    </row>
    <row r="54" spans="1:3" x14ac:dyDescent="0.2">
      <c r="A54" t="s">
        <v>164</v>
      </c>
      <c r="B54" t="s">
        <v>1340</v>
      </c>
      <c r="C54">
        <v>41.6</v>
      </c>
    </row>
    <row r="55" spans="1:3" x14ac:dyDescent="0.2">
      <c r="A55" t="s">
        <v>164</v>
      </c>
      <c r="B55" t="s">
        <v>1340</v>
      </c>
      <c r="C55">
        <v>113.8</v>
      </c>
    </row>
    <row r="56" spans="1:3" x14ac:dyDescent="0.2">
      <c r="A56" t="s">
        <v>164</v>
      </c>
      <c r="B56" t="s">
        <v>1340</v>
      </c>
      <c r="C56">
        <v>25.3</v>
      </c>
    </row>
    <row r="57" spans="1:3" x14ac:dyDescent="0.2">
      <c r="A57" t="s">
        <v>164</v>
      </c>
      <c r="B57" t="s">
        <v>1340</v>
      </c>
      <c r="C57">
        <v>80.599999999999994</v>
      </c>
    </row>
    <row r="58" spans="1:3" x14ac:dyDescent="0.2">
      <c r="A58" t="s">
        <v>164</v>
      </c>
      <c r="B58" t="s">
        <v>1340</v>
      </c>
      <c r="C58">
        <v>112.9</v>
      </c>
    </row>
    <row r="59" spans="1:3" x14ac:dyDescent="0.2">
      <c r="A59" t="s">
        <v>164</v>
      </c>
      <c r="B59" t="s">
        <v>1340</v>
      </c>
      <c r="C59">
        <v>56.9</v>
      </c>
    </row>
    <row r="60" spans="1:3" x14ac:dyDescent="0.2">
      <c r="A60" t="s">
        <v>164</v>
      </c>
      <c r="B60" t="s">
        <v>1340</v>
      </c>
      <c r="C60">
        <v>123.7</v>
      </c>
    </row>
    <row r="61" spans="1:3" x14ac:dyDescent="0.2">
      <c r="A61" t="s">
        <v>164</v>
      </c>
      <c r="B61" t="s">
        <v>1340</v>
      </c>
      <c r="C61">
        <v>648.5</v>
      </c>
    </row>
    <row r="62" spans="1:3" x14ac:dyDescent="0.2">
      <c r="A62" t="s">
        <v>164</v>
      </c>
      <c r="B62" t="s">
        <v>1340</v>
      </c>
      <c r="C62">
        <v>37.6</v>
      </c>
    </row>
    <row r="63" spans="1:3" x14ac:dyDescent="0.2">
      <c r="A63" t="s">
        <v>164</v>
      </c>
      <c r="B63" t="s">
        <v>1340</v>
      </c>
      <c r="C63">
        <v>83.2</v>
      </c>
    </row>
    <row r="64" spans="1:3" x14ac:dyDescent="0.2">
      <c r="A64" t="s">
        <v>164</v>
      </c>
      <c r="B64" t="s">
        <v>1340</v>
      </c>
      <c r="C64">
        <v>53.8</v>
      </c>
    </row>
    <row r="65" spans="1:3" x14ac:dyDescent="0.2">
      <c r="A65" t="s">
        <v>164</v>
      </c>
      <c r="B65" t="s">
        <v>1340</v>
      </c>
      <c r="C65">
        <v>84.2</v>
      </c>
    </row>
    <row r="66" spans="1:3" x14ac:dyDescent="0.2">
      <c r="A66" t="s">
        <v>164</v>
      </c>
      <c r="B66" t="s">
        <v>1340</v>
      </c>
      <c r="C66">
        <v>50.3</v>
      </c>
    </row>
    <row r="67" spans="1:3" x14ac:dyDescent="0.2">
      <c r="A67" t="s">
        <v>164</v>
      </c>
      <c r="B67" t="s">
        <v>1340</v>
      </c>
      <c r="C67">
        <v>100</v>
      </c>
    </row>
    <row r="68" spans="1:3" x14ac:dyDescent="0.2">
      <c r="A68" t="s">
        <v>164</v>
      </c>
      <c r="B68" t="s">
        <v>1340</v>
      </c>
      <c r="C68">
        <v>44.2</v>
      </c>
    </row>
    <row r="69" spans="1:3" x14ac:dyDescent="0.2">
      <c r="A69" t="s">
        <v>164</v>
      </c>
      <c r="B69" t="s">
        <v>1340</v>
      </c>
      <c r="C69">
        <v>85.5</v>
      </c>
    </row>
    <row r="70" spans="1:3" x14ac:dyDescent="0.2">
      <c r="A70" t="s">
        <v>164</v>
      </c>
      <c r="B70" t="s">
        <v>1340</v>
      </c>
      <c r="C70">
        <v>39.1</v>
      </c>
    </row>
    <row r="71" spans="1:3" x14ac:dyDescent="0.2">
      <c r="A71" t="s">
        <v>164</v>
      </c>
      <c r="B71" t="s">
        <v>1340</v>
      </c>
      <c r="C71">
        <v>587.9</v>
      </c>
    </row>
    <row r="72" spans="1:3" x14ac:dyDescent="0.2">
      <c r="A72" t="s">
        <v>164</v>
      </c>
      <c r="B72" t="s">
        <v>1340</v>
      </c>
      <c r="C72">
        <v>28.8</v>
      </c>
    </row>
    <row r="73" spans="1:3" x14ac:dyDescent="0.2">
      <c r="A73" t="s">
        <v>164</v>
      </c>
      <c r="B73" t="s">
        <v>1340</v>
      </c>
      <c r="C73">
        <v>56.5</v>
      </c>
    </row>
    <row r="74" spans="1:3" x14ac:dyDescent="0.2">
      <c r="A74" t="s">
        <v>164</v>
      </c>
      <c r="B74" t="s">
        <v>1340</v>
      </c>
      <c r="C74">
        <v>60.8</v>
      </c>
    </row>
    <row r="75" spans="1:3" x14ac:dyDescent="0.2">
      <c r="A75" t="s">
        <v>164</v>
      </c>
      <c r="B75" t="s">
        <v>1340</v>
      </c>
      <c r="C75">
        <v>93.2</v>
      </c>
    </row>
    <row r="76" spans="1:3" x14ac:dyDescent="0.2">
      <c r="A76" t="s">
        <v>164</v>
      </c>
      <c r="B76" t="s">
        <v>1340</v>
      </c>
      <c r="C76">
        <v>323.5</v>
      </c>
    </row>
    <row r="77" spans="1:3" x14ac:dyDescent="0.2">
      <c r="A77" t="s">
        <v>164</v>
      </c>
      <c r="B77" t="s">
        <v>1340</v>
      </c>
      <c r="C77">
        <v>28.2</v>
      </c>
    </row>
    <row r="78" spans="1:3" x14ac:dyDescent="0.2">
      <c r="A78" t="s">
        <v>164</v>
      </c>
      <c r="B78" t="s">
        <v>1340</v>
      </c>
      <c r="C78">
        <v>91.7</v>
      </c>
    </row>
    <row r="79" spans="1:3" x14ac:dyDescent="0.2">
      <c r="A79" t="s">
        <v>164</v>
      </c>
      <c r="B79" t="s">
        <v>1340</v>
      </c>
      <c r="C79">
        <v>51.7</v>
      </c>
    </row>
    <row r="80" spans="1:3" x14ac:dyDescent="0.2">
      <c r="A80" t="s">
        <v>164</v>
      </c>
      <c r="B80" t="s">
        <v>1340</v>
      </c>
      <c r="C80">
        <v>61</v>
      </c>
    </row>
    <row r="81" spans="1:3" x14ac:dyDescent="0.2">
      <c r="A81" s="49" t="s">
        <v>164</v>
      </c>
      <c r="B81" s="49" t="s">
        <v>1340</v>
      </c>
      <c r="C81" s="49">
        <v>64</v>
      </c>
    </row>
    <row r="82" spans="1:3" x14ac:dyDescent="0.2">
      <c r="A82" t="s">
        <v>767</v>
      </c>
      <c r="B82" t="s">
        <v>1341</v>
      </c>
      <c r="C82">
        <v>152.69999999999999</v>
      </c>
    </row>
    <row r="83" spans="1:3" x14ac:dyDescent="0.2">
      <c r="A83" t="s">
        <v>767</v>
      </c>
      <c r="B83" t="s">
        <v>1341</v>
      </c>
      <c r="C83">
        <v>119.6</v>
      </c>
    </row>
    <row r="84" spans="1:3" x14ac:dyDescent="0.2">
      <c r="A84" s="49" t="s">
        <v>767</v>
      </c>
      <c r="B84" s="49" t="s">
        <v>1341</v>
      </c>
      <c r="C84" s="49">
        <v>37.6</v>
      </c>
    </row>
    <row r="86" spans="1:3" x14ac:dyDescent="0.2">
      <c r="A86" s="47" t="s">
        <v>1294</v>
      </c>
    </row>
    <row r="87" spans="1:3" ht="16" thickBot="1" x14ac:dyDescent="0.25">
      <c r="A87" s="68" t="s">
        <v>1241</v>
      </c>
      <c r="B87" s="68" t="s">
        <v>1335</v>
      </c>
      <c r="C87" s="68" t="s">
        <v>1336</v>
      </c>
    </row>
    <row r="88" spans="1:3" x14ac:dyDescent="0.2">
      <c r="A88" t="s">
        <v>352</v>
      </c>
      <c r="B88" t="s">
        <v>1342</v>
      </c>
      <c r="C88">
        <v>171.4</v>
      </c>
    </row>
    <row r="89" spans="1:3" x14ac:dyDescent="0.2">
      <c r="A89" t="s">
        <v>352</v>
      </c>
      <c r="B89" t="s">
        <v>1342</v>
      </c>
      <c r="C89">
        <v>227.5</v>
      </c>
    </row>
    <row r="90" spans="1:3" x14ac:dyDescent="0.2">
      <c r="A90" t="s">
        <v>352</v>
      </c>
      <c r="B90" t="s">
        <v>1342</v>
      </c>
      <c r="C90">
        <v>145.5</v>
      </c>
    </row>
    <row r="91" spans="1:3" x14ac:dyDescent="0.2">
      <c r="A91" t="s">
        <v>352</v>
      </c>
      <c r="B91" t="s">
        <v>1342</v>
      </c>
      <c r="C91">
        <v>336.4</v>
      </c>
    </row>
    <row r="92" spans="1:3" x14ac:dyDescent="0.2">
      <c r="A92" t="s">
        <v>352</v>
      </c>
      <c r="B92" t="s">
        <v>1342</v>
      </c>
      <c r="C92">
        <v>139.69999999999999</v>
      </c>
    </row>
    <row r="93" spans="1:3" x14ac:dyDescent="0.2">
      <c r="A93" t="s">
        <v>352</v>
      </c>
      <c r="B93" t="s">
        <v>1342</v>
      </c>
      <c r="C93">
        <v>177</v>
      </c>
    </row>
    <row r="94" spans="1:3" x14ac:dyDescent="0.2">
      <c r="A94" t="s">
        <v>352</v>
      </c>
      <c r="B94" t="s">
        <v>1342</v>
      </c>
      <c r="C94">
        <v>123</v>
      </c>
    </row>
    <row r="95" spans="1:3" x14ac:dyDescent="0.2">
      <c r="A95" t="s">
        <v>352</v>
      </c>
      <c r="B95" t="s">
        <v>1342</v>
      </c>
      <c r="C95">
        <v>25.3</v>
      </c>
    </row>
    <row r="96" spans="1:3" x14ac:dyDescent="0.2">
      <c r="A96" t="s">
        <v>352</v>
      </c>
      <c r="B96" t="s">
        <v>1342</v>
      </c>
      <c r="C96">
        <v>30.1</v>
      </c>
    </row>
    <row r="97" spans="1:3" x14ac:dyDescent="0.2">
      <c r="A97" t="s">
        <v>352</v>
      </c>
      <c r="B97" t="s">
        <v>1342</v>
      </c>
      <c r="C97">
        <v>76</v>
      </c>
    </row>
    <row r="98" spans="1:3" x14ac:dyDescent="0.2">
      <c r="A98" t="s">
        <v>352</v>
      </c>
      <c r="B98" t="s">
        <v>1342</v>
      </c>
      <c r="C98">
        <v>46.8</v>
      </c>
    </row>
    <row r="99" spans="1:3" x14ac:dyDescent="0.2">
      <c r="A99" t="s">
        <v>352</v>
      </c>
      <c r="B99" t="s">
        <v>1342</v>
      </c>
      <c r="C99">
        <v>25.3</v>
      </c>
    </row>
    <row r="100" spans="1:3" x14ac:dyDescent="0.2">
      <c r="A100" t="s">
        <v>352</v>
      </c>
      <c r="B100" t="s">
        <v>1342</v>
      </c>
      <c r="C100">
        <v>46.5</v>
      </c>
    </row>
    <row r="101" spans="1:3" x14ac:dyDescent="0.2">
      <c r="A101" t="s">
        <v>352</v>
      </c>
      <c r="B101" t="s">
        <v>1342</v>
      </c>
      <c r="C101">
        <v>74.3</v>
      </c>
    </row>
    <row r="102" spans="1:3" x14ac:dyDescent="0.2">
      <c r="A102" s="49" t="s">
        <v>352</v>
      </c>
      <c r="B102" s="49" t="s">
        <v>1342</v>
      </c>
      <c r="C102" s="49">
        <v>100</v>
      </c>
    </row>
    <row r="103" spans="1:3" x14ac:dyDescent="0.2">
      <c r="A103" t="s">
        <v>612</v>
      </c>
      <c r="B103" t="s">
        <v>1322</v>
      </c>
      <c r="C103">
        <v>74.3</v>
      </c>
    </row>
    <row r="104" spans="1:3" x14ac:dyDescent="0.2">
      <c r="A104" t="s">
        <v>612</v>
      </c>
      <c r="B104" t="s">
        <v>1322</v>
      </c>
      <c r="C104">
        <v>362</v>
      </c>
    </row>
    <row r="105" spans="1:3" x14ac:dyDescent="0.2">
      <c r="A105" t="s">
        <v>612</v>
      </c>
      <c r="B105" t="s">
        <v>1322</v>
      </c>
      <c r="C105">
        <v>118.5</v>
      </c>
    </row>
    <row r="106" spans="1:3" x14ac:dyDescent="0.2">
      <c r="A106" t="s">
        <v>612</v>
      </c>
      <c r="B106" t="s">
        <v>1322</v>
      </c>
      <c r="C106">
        <v>198.7</v>
      </c>
    </row>
    <row r="107" spans="1:3" x14ac:dyDescent="0.2">
      <c r="A107" t="s">
        <v>612</v>
      </c>
      <c r="B107" t="s">
        <v>1322</v>
      </c>
      <c r="C107">
        <v>76.599999999999994</v>
      </c>
    </row>
    <row r="108" spans="1:3" x14ac:dyDescent="0.2">
      <c r="A108" t="s">
        <v>612</v>
      </c>
      <c r="B108" t="s">
        <v>1322</v>
      </c>
      <c r="C108">
        <v>176.1</v>
      </c>
    </row>
    <row r="109" spans="1:3" x14ac:dyDescent="0.2">
      <c r="A109" t="s">
        <v>612</v>
      </c>
      <c r="B109" t="s">
        <v>1322</v>
      </c>
      <c r="C109">
        <v>186.5</v>
      </c>
    </row>
    <row r="110" spans="1:3" x14ac:dyDescent="0.2">
      <c r="A110" t="s">
        <v>612</v>
      </c>
      <c r="B110" t="s">
        <v>1322</v>
      </c>
      <c r="C110">
        <v>143.6</v>
      </c>
    </row>
    <row r="111" spans="1:3" x14ac:dyDescent="0.2">
      <c r="A111" t="s">
        <v>612</v>
      </c>
      <c r="B111" t="s">
        <v>1322</v>
      </c>
      <c r="C111">
        <v>95.3</v>
      </c>
    </row>
    <row r="112" spans="1:3" x14ac:dyDescent="0.2">
      <c r="A112" t="s">
        <v>612</v>
      </c>
      <c r="B112" t="s">
        <v>1322</v>
      </c>
      <c r="C112">
        <v>48.5</v>
      </c>
    </row>
    <row r="113" spans="1:3" x14ac:dyDescent="0.2">
      <c r="A113" t="s">
        <v>612</v>
      </c>
      <c r="B113" t="s">
        <v>1322</v>
      </c>
      <c r="C113">
        <v>64</v>
      </c>
    </row>
    <row r="114" spans="1:3" x14ac:dyDescent="0.2">
      <c r="A114" t="s">
        <v>612</v>
      </c>
      <c r="B114" t="s">
        <v>1322</v>
      </c>
      <c r="C114">
        <v>163.5</v>
      </c>
    </row>
    <row r="115" spans="1:3" x14ac:dyDescent="0.2">
      <c r="A115" t="s">
        <v>612</v>
      </c>
      <c r="B115" t="s">
        <v>1322</v>
      </c>
      <c r="C115">
        <v>94.6</v>
      </c>
    </row>
    <row r="116" spans="1:3" x14ac:dyDescent="0.2">
      <c r="A116" t="s">
        <v>612</v>
      </c>
      <c r="B116" t="s">
        <v>1322</v>
      </c>
      <c r="C116">
        <v>149.6</v>
      </c>
    </row>
    <row r="117" spans="1:3" x14ac:dyDescent="0.2">
      <c r="A117" t="s">
        <v>612</v>
      </c>
      <c r="B117" t="s">
        <v>1322</v>
      </c>
      <c r="C117">
        <v>352.6</v>
      </c>
    </row>
    <row r="118" spans="1:3" x14ac:dyDescent="0.2">
      <c r="A118" t="s">
        <v>612</v>
      </c>
      <c r="B118" t="s">
        <v>1322</v>
      </c>
      <c r="C118">
        <v>25.3</v>
      </c>
    </row>
    <row r="119" spans="1:3" x14ac:dyDescent="0.2">
      <c r="A119" t="s">
        <v>612</v>
      </c>
      <c r="B119" t="s">
        <v>1322</v>
      </c>
      <c r="C119">
        <v>40.5</v>
      </c>
    </row>
    <row r="120" spans="1:3" x14ac:dyDescent="0.2">
      <c r="A120" t="s">
        <v>612</v>
      </c>
      <c r="B120" t="s">
        <v>1322</v>
      </c>
      <c r="C120">
        <v>40.299999999999997</v>
      </c>
    </row>
    <row r="121" spans="1:3" x14ac:dyDescent="0.2">
      <c r="A121" t="s">
        <v>612</v>
      </c>
      <c r="B121" t="s">
        <v>1322</v>
      </c>
      <c r="C121">
        <v>25.3</v>
      </c>
    </row>
    <row r="122" spans="1:3" x14ac:dyDescent="0.2">
      <c r="A122" t="s">
        <v>612</v>
      </c>
      <c r="B122" t="s">
        <v>1322</v>
      </c>
      <c r="C122">
        <v>67.599999999999994</v>
      </c>
    </row>
    <row r="123" spans="1:3" x14ac:dyDescent="0.2">
      <c r="A123" t="s">
        <v>612</v>
      </c>
      <c r="B123" t="s">
        <v>1322</v>
      </c>
      <c r="C123">
        <v>46.5</v>
      </c>
    </row>
    <row r="124" spans="1:3" x14ac:dyDescent="0.2">
      <c r="A124" t="s">
        <v>612</v>
      </c>
      <c r="B124" t="s">
        <v>1322</v>
      </c>
      <c r="C124">
        <v>35.1</v>
      </c>
    </row>
    <row r="125" spans="1:3" x14ac:dyDescent="0.2">
      <c r="A125" t="s">
        <v>612</v>
      </c>
      <c r="B125" t="s">
        <v>1322</v>
      </c>
      <c r="C125">
        <v>160.6</v>
      </c>
    </row>
    <row r="126" spans="1:3" x14ac:dyDescent="0.2">
      <c r="A126" t="s">
        <v>612</v>
      </c>
      <c r="B126" t="s">
        <v>1322</v>
      </c>
      <c r="C126">
        <v>122.7</v>
      </c>
    </row>
    <row r="127" spans="1:3" x14ac:dyDescent="0.2">
      <c r="A127" t="s">
        <v>612</v>
      </c>
      <c r="B127" t="s">
        <v>1322</v>
      </c>
      <c r="C127">
        <v>55.8</v>
      </c>
    </row>
    <row r="128" spans="1:3" x14ac:dyDescent="0.2">
      <c r="A128" t="s">
        <v>612</v>
      </c>
      <c r="B128" t="s">
        <v>1322</v>
      </c>
      <c r="C128">
        <v>75.8</v>
      </c>
    </row>
    <row r="129" spans="1:3" x14ac:dyDescent="0.2">
      <c r="A129" t="s">
        <v>612</v>
      </c>
      <c r="B129" t="s">
        <v>1322</v>
      </c>
      <c r="C129">
        <v>39</v>
      </c>
    </row>
    <row r="130" spans="1:3" x14ac:dyDescent="0.2">
      <c r="A130" t="s">
        <v>612</v>
      </c>
      <c r="B130" t="s">
        <v>1322</v>
      </c>
      <c r="C130">
        <v>166.6</v>
      </c>
    </row>
    <row r="131" spans="1:3" x14ac:dyDescent="0.2">
      <c r="A131" t="s">
        <v>612</v>
      </c>
      <c r="B131" t="s">
        <v>1322</v>
      </c>
      <c r="C131">
        <v>37.6</v>
      </c>
    </row>
    <row r="132" spans="1:3" x14ac:dyDescent="0.2">
      <c r="A132" t="s">
        <v>612</v>
      </c>
      <c r="B132" t="s">
        <v>1322</v>
      </c>
      <c r="C132">
        <v>35.1</v>
      </c>
    </row>
    <row r="133" spans="1:3" x14ac:dyDescent="0.2">
      <c r="A133" t="s">
        <v>612</v>
      </c>
      <c r="B133" t="s">
        <v>1322</v>
      </c>
      <c r="C133">
        <v>61.3</v>
      </c>
    </row>
    <row r="134" spans="1:3" x14ac:dyDescent="0.2">
      <c r="A134" t="s">
        <v>612</v>
      </c>
      <c r="B134" t="s">
        <v>1322</v>
      </c>
      <c r="C134">
        <v>65.900000000000006</v>
      </c>
    </row>
    <row r="135" spans="1:3" x14ac:dyDescent="0.2">
      <c r="A135" t="s">
        <v>612</v>
      </c>
      <c r="B135" t="s">
        <v>1322</v>
      </c>
      <c r="C135">
        <v>25.3</v>
      </c>
    </row>
    <row r="136" spans="1:3" x14ac:dyDescent="0.2">
      <c r="A136" t="s">
        <v>612</v>
      </c>
      <c r="B136" t="s">
        <v>1322</v>
      </c>
      <c r="C136">
        <v>17.8</v>
      </c>
    </row>
    <row r="137" spans="1:3" x14ac:dyDescent="0.2">
      <c r="A137" t="s">
        <v>612</v>
      </c>
      <c r="B137" t="s">
        <v>1322</v>
      </c>
      <c r="C137">
        <v>57.4</v>
      </c>
    </row>
    <row r="138" spans="1:3" x14ac:dyDescent="0.2">
      <c r="A138" t="s">
        <v>612</v>
      </c>
      <c r="B138" t="s">
        <v>1322</v>
      </c>
      <c r="C138">
        <v>25.3</v>
      </c>
    </row>
    <row r="139" spans="1:3" x14ac:dyDescent="0.2">
      <c r="A139" t="s">
        <v>612</v>
      </c>
      <c r="B139" t="s">
        <v>1322</v>
      </c>
      <c r="C139">
        <v>56.8</v>
      </c>
    </row>
    <row r="140" spans="1:3" x14ac:dyDescent="0.2">
      <c r="A140" t="s">
        <v>612</v>
      </c>
      <c r="B140" t="s">
        <v>1322</v>
      </c>
      <c r="C140">
        <v>196.9</v>
      </c>
    </row>
    <row r="141" spans="1:3" x14ac:dyDescent="0.2">
      <c r="A141" t="s">
        <v>612</v>
      </c>
      <c r="B141" t="s">
        <v>1322</v>
      </c>
      <c r="C141">
        <v>38.299999999999997</v>
      </c>
    </row>
    <row r="142" spans="1:3" x14ac:dyDescent="0.2">
      <c r="A142" t="s">
        <v>612</v>
      </c>
      <c r="B142" t="s">
        <v>1322</v>
      </c>
      <c r="C142">
        <v>122.6</v>
      </c>
    </row>
    <row r="143" spans="1:3" x14ac:dyDescent="0.2">
      <c r="A143" t="s">
        <v>612</v>
      </c>
      <c r="B143" t="s">
        <v>1322</v>
      </c>
      <c r="C143">
        <v>45</v>
      </c>
    </row>
    <row r="144" spans="1:3" x14ac:dyDescent="0.2">
      <c r="A144" t="s">
        <v>612</v>
      </c>
      <c r="B144" t="s">
        <v>1322</v>
      </c>
      <c r="C144">
        <v>376.7</v>
      </c>
    </row>
    <row r="145" spans="1:3" x14ac:dyDescent="0.2">
      <c r="A145" t="s">
        <v>612</v>
      </c>
      <c r="B145" t="s">
        <v>1322</v>
      </c>
      <c r="C145">
        <v>155</v>
      </c>
    </row>
    <row r="146" spans="1:3" x14ac:dyDescent="0.2">
      <c r="A146" t="s">
        <v>612</v>
      </c>
      <c r="B146" t="s">
        <v>1322</v>
      </c>
      <c r="C146">
        <v>68.900000000000006</v>
      </c>
    </row>
    <row r="147" spans="1:3" x14ac:dyDescent="0.2">
      <c r="A147" t="s">
        <v>612</v>
      </c>
      <c r="B147" t="s">
        <v>1322</v>
      </c>
      <c r="C147">
        <v>42.4</v>
      </c>
    </row>
    <row r="148" spans="1:3" x14ac:dyDescent="0.2">
      <c r="A148" t="s">
        <v>612</v>
      </c>
      <c r="B148" t="s">
        <v>1322</v>
      </c>
      <c r="C148">
        <v>40.700000000000003</v>
      </c>
    </row>
    <row r="149" spans="1:3" x14ac:dyDescent="0.2">
      <c r="A149" t="s">
        <v>612</v>
      </c>
      <c r="B149" t="s">
        <v>1322</v>
      </c>
      <c r="C149">
        <v>81.099999999999994</v>
      </c>
    </row>
    <row r="150" spans="1:3" x14ac:dyDescent="0.2">
      <c r="A150" t="s">
        <v>612</v>
      </c>
      <c r="B150" t="s">
        <v>1322</v>
      </c>
      <c r="C150">
        <v>107.8</v>
      </c>
    </row>
    <row r="151" spans="1:3" x14ac:dyDescent="0.2">
      <c r="A151" t="s">
        <v>612</v>
      </c>
      <c r="B151" t="s">
        <v>1322</v>
      </c>
      <c r="C151">
        <v>33.5</v>
      </c>
    </row>
    <row r="152" spans="1:3" x14ac:dyDescent="0.2">
      <c r="A152" t="s">
        <v>612</v>
      </c>
      <c r="B152" t="s">
        <v>1322</v>
      </c>
      <c r="C152">
        <v>111.1</v>
      </c>
    </row>
    <row r="153" spans="1:3" x14ac:dyDescent="0.2">
      <c r="A153" t="s">
        <v>612</v>
      </c>
      <c r="B153" t="s">
        <v>1322</v>
      </c>
      <c r="C153">
        <v>121.2</v>
      </c>
    </row>
    <row r="154" spans="1:3" x14ac:dyDescent="0.2">
      <c r="A154" t="s">
        <v>612</v>
      </c>
      <c r="B154" t="s">
        <v>1322</v>
      </c>
      <c r="C154">
        <v>117</v>
      </c>
    </row>
    <row r="155" spans="1:3" x14ac:dyDescent="0.2">
      <c r="A155" t="s">
        <v>612</v>
      </c>
      <c r="B155" t="s">
        <v>1322</v>
      </c>
      <c r="C155">
        <v>22.9</v>
      </c>
    </row>
    <row r="156" spans="1:3" x14ac:dyDescent="0.2">
      <c r="A156" t="s">
        <v>612</v>
      </c>
      <c r="B156" t="s">
        <v>1322</v>
      </c>
      <c r="C156">
        <v>115.4</v>
      </c>
    </row>
    <row r="157" spans="1:3" x14ac:dyDescent="0.2">
      <c r="A157" s="49" t="s">
        <v>612</v>
      </c>
      <c r="B157" s="49" t="s">
        <v>1322</v>
      </c>
      <c r="C157" s="49">
        <v>25.3</v>
      </c>
    </row>
    <row r="158" spans="1:3" x14ac:dyDescent="0.2">
      <c r="A158" t="s">
        <v>816</v>
      </c>
      <c r="B158" t="s">
        <v>1323</v>
      </c>
      <c r="C158">
        <v>131.69999999999999</v>
      </c>
    </row>
    <row r="159" spans="1:3" x14ac:dyDescent="0.2">
      <c r="A159" t="s">
        <v>816</v>
      </c>
      <c r="B159" t="s">
        <v>1323</v>
      </c>
      <c r="C159">
        <v>288.3</v>
      </c>
    </row>
    <row r="160" spans="1:3" x14ac:dyDescent="0.2">
      <c r="A160" t="s">
        <v>816</v>
      </c>
      <c r="B160" t="s">
        <v>1323</v>
      </c>
      <c r="C160">
        <v>359.7</v>
      </c>
    </row>
    <row r="161" spans="1:3" x14ac:dyDescent="0.2">
      <c r="A161" t="s">
        <v>816</v>
      </c>
      <c r="B161" t="s">
        <v>1323</v>
      </c>
      <c r="C161">
        <v>107</v>
      </c>
    </row>
    <row r="162" spans="1:3" x14ac:dyDescent="0.2">
      <c r="A162" t="s">
        <v>816</v>
      </c>
      <c r="B162" t="s">
        <v>1323</v>
      </c>
      <c r="C162">
        <v>36.6</v>
      </c>
    </row>
    <row r="163" spans="1:3" x14ac:dyDescent="0.2">
      <c r="A163" t="s">
        <v>816</v>
      </c>
      <c r="B163" t="s">
        <v>1323</v>
      </c>
      <c r="C163">
        <v>38.5</v>
      </c>
    </row>
    <row r="164" spans="1:3" x14ac:dyDescent="0.2">
      <c r="A164" t="s">
        <v>816</v>
      </c>
      <c r="B164" t="s">
        <v>1323</v>
      </c>
      <c r="C164">
        <v>55.8</v>
      </c>
    </row>
    <row r="165" spans="1:3" x14ac:dyDescent="0.2">
      <c r="A165" s="49" t="s">
        <v>816</v>
      </c>
      <c r="B165" s="49" t="s">
        <v>1323</v>
      </c>
      <c r="C165" s="49">
        <v>147.4</v>
      </c>
    </row>
    <row r="166" spans="1:3" x14ac:dyDescent="0.2">
      <c r="A166" t="s">
        <v>753</v>
      </c>
      <c r="B166" t="s">
        <v>1324</v>
      </c>
      <c r="C166">
        <v>43.4</v>
      </c>
    </row>
    <row r="167" spans="1:3" x14ac:dyDescent="0.2">
      <c r="A167" t="s">
        <v>753</v>
      </c>
      <c r="B167" t="s">
        <v>1324</v>
      </c>
      <c r="C167">
        <v>83.8</v>
      </c>
    </row>
    <row r="168" spans="1:3" x14ac:dyDescent="0.2">
      <c r="A168" t="s">
        <v>753</v>
      </c>
      <c r="B168" t="s">
        <v>1324</v>
      </c>
      <c r="C168">
        <v>37.1</v>
      </c>
    </row>
    <row r="169" spans="1:3" x14ac:dyDescent="0.2">
      <c r="A169" t="s">
        <v>753</v>
      </c>
      <c r="B169" t="s">
        <v>1324</v>
      </c>
      <c r="C169">
        <v>60.6</v>
      </c>
    </row>
    <row r="170" spans="1:3" x14ac:dyDescent="0.2">
      <c r="A170" t="s">
        <v>753</v>
      </c>
      <c r="B170" t="s">
        <v>1324</v>
      </c>
      <c r="C170">
        <v>137</v>
      </c>
    </row>
    <row r="171" spans="1:3" x14ac:dyDescent="0.2">
      <c r="A171" t="s">
        <v>753</v>
      </c>
      <c r="B171" t="s">
        <v>1324</v>
      </c>
      <c r="C171">
        <v>35.1</v>
      </c>
    </row>
    <row r="172" spans="1:3" x14ac:dyDescent="0.2">
      <c r="A172" t="s">
        <v>753</v>
      </c>
      <c r="B172" t="s">
        <v>1324</v>
      </c>
      <c r="C172">
        <v>21.1</v>
      </c>
    </row>
    <row r="173" spans="1:3" x14ac:dyDescent="0.2">
      <c r="A173" t="s">
        <v>753</v>
      </c>
      <c r="B173" t="s">
        <v>1324</v>
      </c>
      <c r="C173">
        <v>37.6</v>
      </c>
    </row>
    <row r="174" spans="1:3" x14ac:dyDescent="0.2">
      <c r="A174" t="s">
        <v>753</v>
      </c>
      <c r="B174" t="s">
        <v>1324</v>
      </c>
      <c r="C174">
        <v>45</v>
      </c>
    </row>
    <row r="175" spans="1:3" x14ac:dyDescent="0.2">
      <c r="A175" t="s">
        <v>753</v>
      </c>
      <c r="B175" t="s">
        <v>1324</v>
      </c>
      <c r="C175">
        <v>22.9</v>
      </c>
    </row>
    <row r="176" spans="1:3" x14ac:dyDescent="0.2">
      <c r="A176" t="s">
        <v>753</v>
      </c>
      <c r="B176" t="s">
        <v>1324</v>
      </c>
      <c r="C176">
        <v>55.5</v>
      </c>
    </row>
    <row r="177" spans="1:3" x14ac:dyDescent="0.2">
      <c r="A177" t="s">
        <v>753</v>
      </c>
      <c r="B177" t="s">
        <v>1324</v>
      </c>
      <c r="C177">
        <v>114.7</v>
      </c>
    </row>
    <row r="178" spans="1:3" x14ac:dyDescent="0.2">
      <c r="A178" t="s">
        <v>753</v>
      </c>
      <c r="B178" t="s">
        <v>1324</v>
      </c>
      <c r="C178">
        <v>40.700000000000003</v>
      </c>
    </row>
    <row r="179" spans="1:3" x14ac:dyDescent="0.2">
      <c r="A179" t="s">
        <v>753</v>
      </c>
      <c r="B179" t="s">
        <v>1324</v>
      </c>
      <c r="C179">
        <v>35.1</v>
      </c>
    </row>
    <row r="180" spans="1:3" x14ac:dyDescent="0.2">
      <c r="A180" t="s">
        <v>753</v>
      </c>
      <c r="B180" t="s">
        <v>1324</v>
      </c>
      <c r="C180">
        <v>67.599999999999994</v>
      </c>
    </row>
    <row r="181" spans="1:3" x14ac:dyDescent="0.2">
      <c r="A181" t="s">
        <v>753</v>
      </c>
      <c r="B181" t="s">
        <v>1324</v>
      </c>
      <c r="C181">
        <v>39.6</v>
      </c>
    </row>
    <row r="182" spans="1:3" x14ac:dyDescent="0.2">
      <c r="A182" t="s">
        <v>753</v>
      </c>
      <c r="B182" t="s">
        <v>1324</v>
      </c>
      <c r="C182">
        <v>30.1</v>
      </c>
    </row>
    <row r="183" spans="1:3" x14ac:dyDescent="0.2">
      <c r="A183" t="s">
        <v>753</v>
      </c>
      <c r="B183" t="s">
        <v>1324</v>
      </c>
      <c r="C183">
        <v>25.3</v>
      </c>
    </row>
    <row r="184" spans="1:3" x14ac:dyDescent="0.2">
      <c r="A184" t="s">
        <v>753</v>
      </c>
      <c r="B184" t="s">
        <v>1324</v>
      </c>
      <c r="C184">
        <v>243.4</v>
      </c>
    </row>
    <row r="185" spans="1:3" x14ac:dyDescent="0.2">
      <c r="A185" t="s">
        <v>753</v>
      </c>
      <c r="B185" t="s">
        <v>1324</v>
      </c>
      <c r="C185">
        <v>164.5</v>
      </c>
    </row>
    <row r="186" spans="1:3" x14ac:dyDescent="0.2">
      <c r="A186" t="s">
        <v>753</v>
      </c>
      <c r="B186" t="s">
        <v>1324</v>
      </c>
      <c r="C186">
        <v>187.2</v>
      </c>
    </row>
    <row r="187" spans="1:3" x14ac:dyDescent="0.2">
      <c r="A187" t="s">
        <v>753</v>
      </c>
      <c r="B187" t="s">
        <v>1324</v>
      </c>
      <c r="C187">
        <v>40.299999999999997</v>
      </c>
    </row>
    <row r="188" spans="1:3" x14ac:dyDescent="0.2">
      <c r="A188" t="s">
        <v>753</v>
      </c>
      <c r="B188" t="s">
        <v>1324</v>
      </c>
      <c r="C188">
        <v>58.4</v>
      </c>
    </row>
    <row r="189" spans="1:3" x14ac:dyDescent="0.2">
      <c r="A189" t="s">
        <v>753</v>
      </c>
      <c r="B189" t="s">
        <v>1324</v>
      </c>
      <c r="C189">
        <v>55.3</v>
      </c>
    </row>
    <row r="190" spans="1:3" x14ac:dyDescent="0.2">
      <c r="A190" t="s">
        <v>753</v>
      </c>
      <c r="B190" t="s">
        <v>1324</v>
      </c>
      <c r="C190">
        <v>55.8</v>
      </c>
    </row>
    <row r="191" spans="1:3" x14ac:dyDescent="0.2">
      <c r="A191" t="s">
        <v>753</v>
      </c>
      <c r="B191" t="s">
        <v>1324</v>
      </c>
      <c r="C191">
        <v>22.9</v>
      </c>
    </row>
    <row r="192" spans="1:3" x14ac:dyDescent="0.2">
      <c r="A192" t="s">
        <v>753</v>
      </c>
      <c r="B192" t="s">
        <v>1324</v>
      </c>
      <c r="C192">
        <v>42.4</v>
      </c>
    </row>
    <row r="193" spans="1:3" x14ac:dyDescent="0.2">
      <c r="A193" t="s">
        <v>753</v>
      </c>
      <c r="B193" t="s">
        <v>1324</v>
      </c>
      <c r="C193">
        <v>145.1</v>
      </c>
    </row>
    <row r="194" spans="1:3" x14ac:dyDescent="0.2">
      <c r="A194" s="49" t="s">
        <v>753</v>
      </c>
      <c r="B194" s="49" t="s">
        <v>1324</v>
      </c>
      <c r="C194" s="49">
        <v>33.5</v>
      </c>
    </row>
    <row r="195" spans="1:3" x14ac:dyDescent="0.2">
      <c r="A195" t="s">
        <v>815</v>
      </c>
      <c r="B195" t="s">
        <v>1325</v>
      </c>
      <c r="C195">
        <v>41.6</v>
      </c>
    </row>
    <row r="196" spans="1:3" x14ac:dyDescent="0.2">
      <c r="A196" t="s">
        <v>815</v>
      </c>
      <c r="B196" t="s">
        <v>1325</v>
      </c>
      <c r="C196">
        <v>50.3</v>
      </c>
    </row>
    <row r="197" spans="1:3" x14ac:dyDescent="0.2">
      <c r="A197" t="s">
        <v>815</v>
      </c>
      <c r="B197" t="s">
        <v>1325</v>
      </c>
      <c r="C197">
        <v>22.9</v>
      </c>
    </row>
    <row r="198" spans="1:3" x14ac:dyDescent="0.2">
      <c r="A198" t="s">
        <v>815</v>
      </c>
      <c r="B198" t="s">
        <v>1325</v>
      </c>
      <c r="C198">
        <v>28.2</v>
      </c>
    </row>
    <row r="199" spans="1:3" x14ac:dyDescent="0.2">
      <c r="A199" s="49" t="s">
        <v>815</v>
      </c>
      <c r="B199" s="49" t="s">
        <v>1325</v>
      </c>
      <c r="C199" s="49">
        <v>143.19999999999999</v>
      </c>
    </row>
    <row r="200" spans="1:3" x14ac:dyDescent="0.2">
      <c r="A200" t="s">
        <v>1059</v>
      </c>
      <c r="B200" t="s">
        <v>1326</v>
      </c>
      <c r="C200">
        <v>157.5</v>
      </c>
    </row>
    <row r="201" spans="1:3" x14ac:dyDescent="0.2">
      <c r="A201" t="s">
        <v>1059</v>
      </c>
      <c r="B201" t="s">
        <v>1326</v>
      </c>
      <c r="C201">
        <v>45</v>
      </c>
    </row>
    <row r="202" spans="1:3" x14ac:dyDescent="0.2">
      <c r="A202" t="s">
        <v>1059</v>
      </c>
      <c r="B202" t="s">
        <v>1326</v>
      </c>
      <c r="C202">
        <v>85.7</v>
      </c>
    </row>
    <row r="203" spans="1:3" x14ac:dyDescent="0.2">
      <c r="A203" t="s">
        <v>1059</v>
      </c>
      <c r="B203" t="s">
        <v>1326</v>
      </c>
      <c r="C203">
        <v>186.4</v>
      </c>
    </row>
    <row r="204" spans="1:3" x14ac:dyDescent="0.2">
      <c r="A204" t="s">
        <v>1059</v>
      </c>
      <c r="B204" t="s">
        <v>1326</v>
      </c>
      <c r="C204">
        <v>173.3</v>
      </c>
    </row>
    <row r="205" spans="1:3" x14ac:dyDescent="0.2">
      <c r="A205" t="s">
        <v>1059</v>
      </c>
      <c r="B205" t="s">
        <v>1326</v>
      </c>
      <c r="C205">
        <v>89.2</v>
      </c>
    </row>
    <row r="206" spans="1:3" x14ac:dyDescent="0.2">
      <c r="A206" t="s">
        <v>1059</v>
      </c>
      <c r="B206" t="s">
        <v>1326</v>
      </c>
      <c r="C206">
        <v>115.7</v>
      </c>
    </row>
    <row r="207" spans="1:3" x14ac:dyDescent="0.2">
      <c r="A207" t="s">
        <v>1059</v>
      </c>
      <c r="B207" t="s">
        <v>1326</v>
      </c>
      <c r="C207">
        <v>261.3</v>
      </c>
    </row>
    <row r="208" spans="1:3" x14ac:dyDescent="0.2">
      <c r="A208" t="s">
        <v>1059</v>
      </c>
      <c r="B208" t="s">
        <v>1326</v>
      </c>
      <c r="C208">
        <v>27.5</v>
      </c>
    </row>
    <row r="209" spans="1:3" x14ac:dyDescent="0.2">
      <c r="A209" t="s">
        <v>1059</v>
      </c>
      <c r="B209" t="s">
        <v>1326</v>
      </c>
      <c r="C209">
        <v>88.5</v>
      </c>
    </row>
    <row r="210" spans="1:3" x14ac:dyDescent="0.2">
      <c r="A210" t="s">
        <v>1059</v>
      </c>
      <c r="B210" t="s">
        <v>1326</v>
      </c>
      <c r="C210">
        <v>353.6</v>
      </c>
    </row>
    <row r="211" spans="1:3" x14ac:dyDescent="0.2">
      <c r="A211" t="s">
        <v>1059</v>
      </c>
      <c r="B211" t="s">
        <v>1326</v>
      </c>
      <c r="C211">
        <v>72.2</v>
      </c>
    </row>
    <row r="212" spans="1:3" x14ac:dyDescent="0.2">
      <c r="A212" s="49" t="s">
        <v>1059</v>
      </c>
      <c r="B212" s="49" t="s">
        <v>1326</v>
      </c>
      <c r="C212" s="49">
        <v>113.5</v>
      </c>
    </row>
    <row r="213" spans="1:3" x14ac:dyDescent="0.2">
      <c r="A213" t="s">
        <v>645</v>
      </c>
      <c r="B213" t="s">
        <v>1327</v>
      </c>
      <c r="C213">
        <v>58</v>
      </c>
    </row>
    <row r="214" spans="1:3" x14ac:dyDescent="0.2">
      <c r="A214" t="s">
        <v>645</v>
      </c>
      <c r="B214" t="s">
        <v>1327</v>
      </c>
      <c r="C214">
        <v>53.8</v>
      </c>
    </row>
    <row r="215" spans="1:3" x14ac:dyDescent="0.2">
      <c r="A215" t="s">
        <v>645</v>
      </c>
      <c r="B215" t="s">
        <v>1327</v>
      </c>
      <c r="C215">
        <v>52.8</v>
      </c>
    </row>
    <row r="216" spans="1:3" x14ac:dyDescent="0.2">
      <c r="A216" t="s">
        <v>645</v>
      </c>
      <c r="B216" t="s">
        <v>1327</v>
      </c>
      <c r="C216">
        <v>72.3</v>
      </c>
    </row>
    <row r="217" spans="1:3" x14ac:dyDescent="0.2">
      <c r="A217" t="s">
        <v>645</v>
      </c>
      <c r="B217" t="s">
        <v>1327</v>
      </c>
      <c r="C217">
        <v>108.2</v>
      </c>
    </row>
    <row r="218" spans="1:3" x14ac:dyDescent="0.2">
      <c r="A218" t="s">
        <v>645</v>
      </c>
      <c r="B218" t="s">
        <v>1327</v>
      </c>
      <c r="C218">
        <v>22.9</v>
      </c>
    </row>
    <row r="219" spans="1:3" x14ac:dyDescent="0.2">
      <c r="A219" t="s">
        <v>645</v>
      </c>
      <c r="B219" t="s">
        <v>1327</v>
      </c>
      <c r="C219">
        <v>40.700000000000003</v>
      </c>
    </row>
    <row r="220" spans="1:3" x14ac:dyDescent="0.2">
      <c r="A220" s="49" t="s">
        <v>645</v>
      </c>
      <c r="B220" s="49" t="s">
        <v>1327</v>
      </c>
      <c r="C220" s="49">
        <v>178.6</v>
      </c>
    </row>
    <row r="221" spans="1:3" x14ac:dyDescent="0.2">
      <c r="A221" t="s">
        <v>1124</v>
      </c>
      <c r="B221" t="s">
        <v>1343</v>
      </c>
      <c r="C221">
        <v>67.599999999999994</v>
      </c>
    </row>
    <row r="222" spans="1:3" x14ac:dyDescent="0.2">
      <c r="A222" t="s">
        <v>1124</v>
      </c>
      <c r="B222" t="s">
        <v>1343</v>
      </c>
      <c r="C222">
        <v>28.8</v>
      </c>
    </row>
    <row r="223" spans="1:3" x14ac:dyDescent="0.2">
      <c r="A223" t="s">
        <v>1124</v>
      </c>
      <c r="B223" t="s">
        <v>1343</v>
      </c>
      <c r="C223">
        <v>187.2</v>
      </c>
    </row>
    <row r="224" spans="1:3" x14ac:dyDescent="0.2">
      <c r="A224" t="s">
        <v>1124</v>
      </c>
      <c r="B224" t="s">
        <v>1343</v>
      </c>
      <c r="C224">
        <v>75.7</v>
      </c>
    </row>
    <row r="225" spans="1:3" x14ac:dyDescent="0.2">
      <c r="A225" t="s">
        <v>1124</v>
      </c>
      <c r="B225" t="s">
        <v>1343</v>
      </c>
      <c r="C225">
        <v>89.2</v>
      </c>
    </row>
    <row r="226" spans="1:3" x14ac:dyDescent="0.2">
      <c r="A226" s="49" t="s">
        <v>1124</v>
      </c>
      <c r="B226" s="49" t="s">
        <v>1343</v>
      </c>
      <c r="C226" s="49">
        <v>77.5</v>
      </c>
    </row>
    <row r="227" spans="1:3" x14ac:dyDescent="0.2">
      <c r="A227" t="s">
        <v>768</v>
      </c>
      <c r="B227" t="s">
        <v>1329</v>
      </c>
      <c r="C227">
        <v>61.3</v>
      </c>
    </row>
    <row r="228" spans="1:3" x14ac:dyDescent="0.2">
      <c r="A228" t="s">
        <v>768</v>
      </c>
      <c r="B228" t="s">
        <v>1329</v>
      </c>
      <c r="C228">
        <v>56.2</v>
      </c>
    </row>
    <row r="229" spans="1:3" x14ac:dyDescent="0.2">
      <c r="A229" t="s">
        <v>768</v>
      </c>
      <c r="B229" t="s">
        <v>1329</v>
      </c>
      <c r="C229">
        <v>64.900000000000006</v>
      </c>
    </row>
    <row r="230" spans="1:3" x14ac:dyDescent="0.2">
      <c r="A230" t="s">
        <v>768</v>
      </c>
      <c r="B230" t="s">
        <v>1329</v>
      </c>
      <c r="C230">
        <v>131.69999999999999</v>
      </c>
    </row>
    <row r="231" spans="1:3" x14ac:dyDescent="0.2">
      <c r="A231" t="s">
        <v>768</v>
      </c>
      <c r="B231" t="s">
        <v>1329</v>
      </c>
      <c r="C231">
        <v>166.4</v>
      </c>
    </row>
    <row r="232" spans="1:3" x14ac:dyDescent="0.2">
      <c r="A232" t="s">
        <v>768</v>
      </c>
      <c r="B232" t="s">
        <v>1329</v>
      </c>
      <c r="C232">
        <v>204</v>
      </c>
    </row>
    <row r="233" spans="1:3" x14ac:dyDescent="0.2">
      <c r="A233" s="49" t="s">
        <v>768</v>
      </c>
      <c r="B233" s="49" t="s">
        <v>1329</v>
      </c>
      <c r="C233" s="49">
        <v>102.3</v>
      </c>
    </row>
    <row r="234" spans="1:3" x14ac:dyDescent="0.2">
      <c r="A234" t="s">
        <v>1058</v>
      </c>
      <c r="B234" t="s">
        <v>1330</v>
      </c>
      <c r="C234">
        <v>48.5</v>
      </c>
    </row>
    <row r="235" spans="1:3" x14ac:dyDescent="0.2">
      <c r="A235" t="s">
        <v>1058</v>
      </c>
      <c r="B235" t="s">
        <v>1330</v>
      </c>
      <c r="C235">
        <v>39</v>
      </c>
    </row>
    <row r="236" spans="1:3" x14ac:dyDescent="0.2">
      <c r="A236" t="s">
        <v>1058</v>
      </c>
      <c r="B236" t="s">
        <v>1330</v>
      </c>
      <c r="C236">
        <v>56</v>
      </c>
    </row>
    <row r="237" spans="1:3" x14ac:dyDescent="0.2">
      <c r="A237" t="s">
        <v>1058</v>
      </c>
      <c r="B237" t="s">
        <v>1330</v>
      </c>
      <c r="C237">
        <v>274.7</v>
      </c>
    </row>
    <row r="238" spans="1:3" x14ac:dyDescent="0.2">
      <c r="A238" t="s">
        <v>1058</v>
      </c>
      <c r="B238" t="s">
        <v>1330</v>
      </c>
      <c r="C238">
        <v>155.1</v>
      </c>
    </row>
    <row r="239" spans="1:3" x14ac:dyDescent="0.2">
      <c r="A239" t="s">
        <v>1058</v>
      </c>
      <c r="B239" t="s">
        <v>1330</v>
      </c>
      <c r="C239">
        <v>204.3</v>
      </c>
    </row>
    <row r="240" spans="1:3" x14ac:dyDescent="0.2">
      <c r="A240" t="s">
        <v>1058</v>
      </c>
      <c r="B240" t="s">
        <v>1330</v>
      </c>
      <c r="C240">
        <v>30.1</v>
      </c>
    </row>
    <row r="241" spans="1:3" x14ac:dyDescent="0.2">
      <c r="A241" t="s">
        <v>1058</v>
      </c>
      <c r="B241" t="s">
        <v>1330</v>
      </c>
      <c r="C241">
        <v>422.6</v>
      </c>
    </row>
    <row r="242" spans="1:3" x14ac:dyDescent="0.2">
      <c r="A242" t="s">
        <v>1058</v>
      </c>
      <c r="B242" t="s">
        <v>1330</v>
      </c>
      <c r="C242">
        <v>74.3</v>
      </c>
    </row>
    <row r="243" spans="1:3" x14ac:dyDescent="0.2">
      <c r="A243" t="s">
        <v>1058</v>
      </c>
      <c r="B243" t="s">
        <v>1330</v>
      </c>
      <c r="C243">
        <v>65</v>
      </c>
    </row>
    <row r="244" spans="1:3" x14ac:dyDescent="0.2">
      <c r="A244" t="s">
        <v>1058</v>
      </c>
      <c r="B244" t="s">
        <v>1330</v>
      </c>
      <c r="C244">
        <v>114.1</v>
      </c>
    </row>
    <row r="245" spans="1:3" x14ac:dyDescent="0.2">
      <c r="A245" t="s">
        <v>1058</v>
      </c>
      <c r="B245" t="s">
        <v>1330</v>
      </c>
      <c r="C245">
        <v>332.6</v>
      </c>
    </row>
    <row r="246" spans="1:3" x14ac:dyDescent="0.2">
      <c r="A246" t="s">
        <v>1058</v>
      </c>
      <c r="B246" t="s">
        <v>1330</v>
      </c>
      <c r="C246">
        <v>379</v>
      </c>
    </row>
    <row r="247" spans="1:3" x14ac:dyDescent="0.2">
      <c r="A247" s="49" t="s">
        <v>1058</v>
      </c>
      <c r="B247" s="49" t="s">
        <v>1330</v>
      </c>
      <c r="C247" s="49">
        <v>176.9</v>
      </c>
    </row>
    <row r="248" spans="1:3" x14ac:dyDescent="0.2">
      <c r="A248" t="s">
        <v>847</v>
      </c>
      <c r="B248" t="s">
        <v>1331</v>
      </c>
      <c r="C248">
        <v>37.6</v>
      </c>
    </row>
    <row r="249" spans="1:3" x14ac:dyDescent="0.2">
      <c r="A249" t="s">
        <v>847</v>
      </c>
      <c r="B249" t="s">
        <v>1331</v>
      </c>
      <c r="C249">
        <v>71.599999999999994</v>
      </c>
    </row>
    <row r="250" spans="1:3" x14ac:dyDescent="0.2">
      <c r="A250" t="s">
        <v>847</v>
      </c>
      <c r="B250" t="s">
        <v>1331</v>
      </c>
      <c r="C250">
        <v>101.4</v>
      </c>
    </row>
    <row r="251" spans="1:3" x14ac:dyDescent="0.2">
      <c r="A251" t="s">
        <v>847</v>
      </c>
      <c r="B251" t="s">
        <v>1331</v>
      </c>
      <c r="C251">
        <v>95.4</v>
      </c>
    </row>
    <row r="252" spans="1:3" x14ac:dyDescent="0.2">
      <c r="A252" t="s">
        <v>847</v>
      </c>
      <c r="B252" t="s">
        <v>1331</v>
      </c>
      <c r="C252">
        <v>72.7</v>
      </c>
    </row>
    <row r="253" spans="1:3" x14ac:dyDescent="0.2">
      <c r="A253" t="s">
        <v>847</v>
      </c>
      <c r="B253" t="s">
        <v>1331</v>
      </c>
      <c r="C253">
        <v>69.2</v>
      </c>
    </row>
    <row r="254" spans="1:3" x14ac:dyDescent="0.2">
      <c r="A254" t="s">
        <v>847</v>
      </c>
      <c r="B254" t="s">
        <v>1331</v>
      </c>
      <c r="C254">
        <v>114.2</v>
      </c>
    </row>
    <row r="255" spans="1:3" x14ac:dyDescent="0.2">
      <c r="A255" t="s">
        <v>847</v>
      </c>
      <c r="B255" t="s">
        <v>1331</v>
      </c>
      <c r="C255">
        <v>25.3</v>
      </c>
    </row>
    <row r="256" spans="1:3" x14ac:dyDescent="0.2">
      <c r="A256" t="s">
        <v>847</v>
      </c>
      <c r="B256" t="s">
        <v>1331</v>
      </c>
      <c r="C256">
        <v>149</v>
      </c>
    </row>
    <row r="257" spans="1:3" x14ac:dyDescent="0.2">
      <c r="A257" t="s">
        <v>847</v>
      </c>
      <c r="B257" t="s">
        <v>1331</v>
      </c>
      <c r="C257">
        <v>53.8</v>
      </c>
    </row>
    <row r="258" spans="1:3" x14ac:dyDescent="0.2">
      <c r="A258" t="s">
        <v>847</v>
      </c>
      <c r="B258" t="s">
        <v>1331</v>
      </c>
      <c r="C258">
        <v>52.8</v>
      </c>
    </row>
    <row r="259" spans="1:3" x14ac:dyDescent="0.2">
      <c r="A259" t="s">
        <v>847</v>
      </c>
      <c r="B259" t="s">
        <v>1331</v>
      </c>
      <c r="C259">
        <v>61.6</v>
      </c>
    </row>
    <row r="260" spans="1:3" x14ac:dyDescent="0.2">
      <c r="A260" t="s">
        <v>847</v>
      </c>
      <c r="B260" t="s">
        <v>1331</v>
      </c>
      <c r="C260">
        <v>100.1</v>
      </c>
    </row>
    <row r="261" spans="1:3" x14ac:dyDescent="0.2">
      <c r="A261" t="s">
        <v>847</v>
      </c>
      <c r="B261" t="s">
        <v>1331</v>
      </c>
      <c r="C261">
        <v>50.3</v>
      </c>
    </row>
    <row r="262" spans="1:3" x14ac:dyDescent="0.2">
      <c r="A262" t="s">
        <v>847</v>
      </c>
      <c r="B262" t="s">
        <v>1331</v>
      </c>
      <c r="C262">
        <v>127.9</v>
      </c>
    </row>
    <row r="263" spans="1:3" x14ac:dyDescent="0.2">
      <c r="A263" t="s">
        <v>847</v>
      </c>
      <c r="B263" t="s">
        <v>1331</v>
      </c>
      <c r="C263">
        <v>42.4</v>
      </c>
    </row>
    <row r="264" spans="1:3" x14ac:dyDescent="0.2">
      <c r="A264" t="s">
        <v>847</v>
      </c>
      <c r="B264" t="s">
        <v>1331</v>
      </c>
      <c r="C264">
        <v>42.4</v>
      </c>
    </row>
    <row r="265" spans="1:3" x14ac:dyDescent="0.2">
      <c r="A265" t="s">
        <v>847</v>
      </c>
      <c r="B265" t="s">
        <v>1331</v>
      </c>
      <c r="C265">
        <v>58.9</v>
      </c>
    </row>
    <row r="266" spans="1:3" x14ac:dyDescent="0.2">
      <c r="A266" t="s">
        <v>847</v>
      </c>
      <c r="B266" t="s">
        <v>1331</v>
      </c>
      <c r="C266">
        <v>40.299999999999997</v>
      </c>
    </row>
    <row r="267" spans="1:3" x14ac:dyDescent="0.2">
      <c r="A267" t="s">
        <v>847</v>
      </c>
      <c r="B267" t="s">
        <v>1331</v>
      </c>
      <c r="C267">
        <v>25.3</v>
      </c>
    </row>
    <row r="268" spans="1:3" x14ac:dyDescent="0.2">
      <c r="A268" t="s">
        <v>847</v>
      </c>
      <c r="B268" t="s">
        <v>1331</v>
      </c>
      <c r="C268">
        <v>22.9</v>
      </c>
    </row>
    <row r="269" spans="1:3" x14ac:dyDescent="0.2">
      <c r="A269" t="s">
        <v>847</v>
      </c>
      <c r="B269" t="s">
        <v>1331</v>
      </c>
      <c r="C269">
        <v>39.6</v>
      </c>
    </row>
    <row r="270" spans="1:3" x14ac:dyDescent="0.2">
      <c r="A270" t="s">
        <v>847</v>
      </c>
      <c r="B270" t="s">
        <v>1331</v>
      </c>
      <c r="C270">
        <v>35.1</v>
      </c>
    </row>
    <row r="271" spans="1:3" x14ac:dyDescent="0.2">
      <c r="A271" t="s">
        <v>847</v>
      </c>
      <c r="B271" t="s">
        <v>1331</v>
      </c>
      <c r="C271">
        <v>46.5</v>
      </c>
    </row>
    <row r="272" spans="1:3" x14ac:dyDescent="0.2">
      <c r="A272" t="s">
        <v>847</v>
      </c>
      <c r="B272" t="s">
        <v>1331</v>
      </c>
      <c r="C272">
        <v>36.6</v>
      </c>
    </row>
    <row r="273" spans="1:3" x14ac:dyDescent="0.2">
      <c r="A273" t="s">
        <v>847</v>
      </c>
      <c r="B273" t="s">
        <v>1331</v>
      </c>
      <c r="C273">
        <v>60.2</v>
      </c>
    </row>
    <row r="274" spans="1:3" x14ac:dyDescent="0.2">
      <c r="A274" t="s">
        <v>847</v>
      </c>
      <c r="B274" t="s">
        <v>1331</v>
      </c>
      <c r="C274">
        <v>176.8</v>
      </c>
    </row>
    <row r="275" spans="1:3" x14ac:dyDescent="0.2">
      <c r="A275" t="s">
        <v>847</v>
      </c>
      <c r="B275" t="s">
        <v>1331</v>
      </c>
      <c r="C275">
        <v>22.9</v>
      </c>
    </row>
    <row r="276" spans="1:3" x14ac:dyDescent="0.2">
      <c r="A276" t="s">
        <v>847</v>
      </c>
      <c r="B276" t="s">
        <v>1331</v>
      </c>
      <c r="C276">
        <v>83.8</v>
      </c>
    </row>
    <row r="277" spans="1:3" x14ac:dyDescent="0.2">
      <c r="A277" t="s">
        <v>847</v>
      </c>
      <c r="B277" t="s">
        <v>1331</v>
      </c>
      <c r="C277">
        <v>33.5</v>
      </c>
    </row>
    <row r="278" spans="1:3" x14ac:dyDescent="0.2">
      <c r="A278" t="s">
        <v>847</v>
      </c>
      <c r="B278" t="s">
        <v>1331</v>
      </c>
      <c r="C278">
        <v>88.3</v>
      </c>
    </row>
    <row r="279" spans="1:3" x14ac:dyDescent="0.2">
      <c r="A279" t="s">
        <v>847</v>
      </c>
      <c r="B279" t="s">
        <v>1331</v>
      </c>
      <c r="C279">
        <v>60.6</v>
      </c>
    </row>
    <row r="280" spans="1:3" x14ac:dyDescent="0.2">
      <c r="A280" t="s">
        <v>847</v>
      </c>
      <c r="B280" t="s">
        <v>1331</v>
      </c>
      <c r="C280">
        <v>56.2</v>
      </c>
    </row>
    <row r="281" spans="1:3" x14ac:dyDescent="0.2">
      <c r="A281" t="s">
        <v>847</v>
      </c>
      <c r="B281" t="s">
        <v>1331</v>
      </c>
      <c r="C281">
        <v>40.700000000000003</v>
      </c>
    </row>
    <row r="282" spans="1:3" x14ac:dyDescent="0.2">
      <c r="A282" t="s">
        <v>847</v>
      </c>
      <c r="B282" t="s">
        <v>1331</v>
      </c>
      <c r="C282">
        <v>36.6</v>
      </c>
    </row>
    <row r="283" spans="1:3" x14ac:dyDescent="0.2">
      <c r="A283" t="s">
        <v>847</v>
      </c>
      <c r="B283" t="s">
        <v>1331</v>
      </c>
      <c r="C283">
        <v>63.8</v>
      </c>
    </row>
    <row r="284" spans="1:3" x14ac:dyDescent="0.2">
      <c r="A284" t="s">
        <v>847</v>
      </c>
      <c r="B284" t="s">
        <v>1331</v>
      </c>
      <c r="C284">
        <v>22.9</v>
      </c>
    </row>
    <row r="285" spans="1:3" x14ac:dyDescent="0.2">
      <c r="A285" t="s">
        <v>847</v>
      </c>
      <c r="B285" t="s">
        <v>1331</v>
      </c>
      <c r="C285">
        <v>260.2</v>
      </c>
    </row>
    <row r="286" spans="1:3" x14ac:dyDescent="0.2">
      <c r="A286" t="s">
        <v>847</v>
      </c>
      <c r="B286" t="s">
        <v>1331</v>
      </c>
      <c r="C286">
        <v>216.1</v>
      </c>
    </row>
    <row r="287" spans="1:3" x14ac:dyDescent="0.2">
      <c r="A287" t="s">
        <v>847</v>
      </c>
      <c r="B287" t="s">
        <v>1331</v>
      </c>
      <c r="C287">
        <v>69.7</v>
      </c>
    </row>
    <row r="288" spans="1:3" x14ac:dyDescent="0.2">
      <c r="A288" t="s">
        <v>847</v>
      </c>
      <c r="B288" t="s">
        <v>1331</v>
      </c>
      <c r="C288">
        <v>21.1</v>
      </c>
    </row>
    <row r="289" spans="1:3" x14ac:dyDescent="0.2">
      <c r="A289" t="s">
        <v>847</v>
      </c>
      <c r="B289" t="s">
        <v>1331</v>
      </c>
      <c r="C289">
        <v>39</v>
      </c>
    </row>
    <row r="290" spans="1:3" x14ac:dyDescent="0.2">
      <c r="A290" s="49" t="s">
        <v>847</v>
      </c>
      <c r="B290" s="49" t="s">
        <v>1331</v>
      </c>
      <c r="C290" s="49">
        <v>25.3</v>
      </c>
    </row>
    <row r="291" spans="1:3" x14ac:dyDescent="0.2">
      <c r="A291" t="s">
        <v>387</v>
      </c>
      <c r="B291" t="s">
        <v>1332</v>
      </c>
      <c r="C291">
        <v>33.5</v>
      </c>
    </row>
    <row r="292" spans="1:3" x14ac:dyDescent="0.2">
      <c r="A292" t="s">
        <v>387</v>
      </c>
      <c r="B292" t="s">
        <v>1332</v>
      </c>
      <c r="C292">
        <v>61.3</v>
      </c>
    </row>
    <row r="293" spans="1:3" x14ac:dyDescent="0.2">
      <c r="A293" t="s">
        <v>387</v>
      </c>
      <c r="B293" t="s">
        <v>1332</v>
      </c>
      <c r="C293">
        <v>72.3</v>
      </c>
    </row>
    <row r="294" spans="1:3" x14ac:dyDescent="0.2">
      <c r="A294" t="s">
        <v>387</v>
      </c>
      <c r="B294" t="s">
        <v>1332</v>
      </c>
      <c r="C294">
        <v>67.599999999999994</v>
      </c>
    </row>
    <row r="295" spans="1:3" x14ac:dyDescent="0.2">
      <c r="A295" t="s">
        <v>387</v>
      </c>
      <c r="B295" t="s">
        <v>1332</v>
      </c>
      <c r="C295">
        <v>42.4</v>
      </c>
    </row>
    <row r="296" spans="1:3" x14ac:dyDescent="0.2">
      <c r="A296" t="s">
        <v>387</v>
      </c>
      <c r="B296" t="s">
        <v>1332</v>
      </c>
      <c r="C296">
        <v>130</v>
      </c>
    </row>
    <row r="297" spans="1:3" x14ac:dyDescent="0.2">
      <c r="A297" t="s">
        <v>387</v>
      </c>
      <c r="B297" t="s">
        <v>1332</v>
      </c>
      <c r="C297">
        <v>165.2</v>
      </c>
    </row>
    <row r="298" spans="1:3" x14ac:dyDescent="0.2">
      <c r="A298" s="49" t="s">
        <v>387</v>
      </c>
      <c r="B298" s="49" t="s">
        <v>1332</v>
      </c>
      <c r="C298" s="49">
        <v>63.5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A2F31-77BF-4B85-A6AA-476E1B4C08E4}">
  <dimension ref="A1:N294"/>
  <sheetViews>
    <sheetView tabSelected="1" zoomScale="110" zoomScaleNormal="110" workbookViewId="0"/>
  </sheetViews>
  <sheetFormatPr baseColWidth="10" defaultColWidth="8.83203125" defaultRowHeight="15" x14ac:dyDescent="0.2"/>
  <cols>
    <col min="1" max="1" width="10.5" bestFit="1" customWidth="1"/>
    <col min="3" max="3" width="12.6640625" bestFit="1" customWidth="1"/>
    <col min="8" max="8" width="14.1640625" bestFit="1" customWidth="1"/>
    <col min="9" max="9" width="19.1640625" bestFit="1" customWidth="1"/>
    <col min="10" max="10" width="17.83203125" bestFit="1" customWidth="1"/>
    <col min="11" max="11" width="21" bestFit="1" customWidth="1"/>
    <col min="12" max="12" width="21.1640625" bestFit="1" customWidth="1"/>
    <col min="13" max="13" width="13.5" bestFit="1" customWidth="1"/>
  </cols>
  <sheetData>
    <row r="1" spans="1:14" x14ac:dyDescent="0.2">
      <c r="A1" t="s">
        <v>1345</v>
      </c>
      <c r="B1" t="s">
        <v>1344</v>
      </c>
      <c r="C1" t="s">
        <v>1</v>
      </c>
      <c r="D1" t="s">
        <v>2</v>
      </c>
      <c r="F1" t="s">
        <v>3</v>
      </c>
      <c r="H1" s="69" t="s">
        <v>4</v>
      </c>
      <c r="I1" t="s">
        <v>5</v>
      </c>
      <c r="J1" t="s">
        <v>6</v>
      </c>
      <c r="K1" s="69" t="s">
        <v>7</v>
      </c>
      <c r="L1" s="69" t="s">
        <v>8</v>
      </c>
      <c r="M1" t="s">
        <v>9</v>
      </c>
      <c r="N1" t="s">
        <v>10</v>
      </c>
    </row>
    <row r="2" spans="1:14" x14ac:dyDescent="0.2">
      <c r="A2" t="s">
        <v>164</v>
      </c>
      <c r="B2" t="s">
        <v>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219</v>
      </c>
      <c r="J2">
        <v>6624.8</v>
      </c>
      <c r="K2">
        <v>164.7</v>
      </c>
      <c r="L2">
        <v>51.2</v>
      </c>
      <c r="M2">
        <v>135700.25</v>
      </c>
      <c r="N2">
        <v>187.26634000000001</v>
      </c>
    </row>
    <row r="3" spans="1:14" x14ac:dyDescent="0.2">
      <c r="A3" t="s">
        <v>164</v>
      </c>
      <c r="B3" t="s">
        <v>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13</v>
      </c>
      <c r="J3">
        <v>393.3</v>
      </c>
      <c r="K3">
        <v>30.1</v>
      </c>
      <c r="L3">
        <v>16.600000000000001</v>
      </c>
      <c r="M3">
        <v>2616.9050000000002</v>
      </c>
      <c r="N3">
        <v>2.4860600000000002</v>
      </c>
    </row>
    <row r="4" spans="1:14" x14ac:dyDescent="0.2">
      <c r="A4" t="s">
        <v>164</v>
      </c>
      <c r="B4" t="s">
        <v>0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24</v>
      </c>
      <c r="I4">
        <v>26</v>
      </c>
      <c r="J4">
        <v>786.5</v>
      </c>
      <c r="K4">
        <v>41.6</v>
      </c>
      <c r="L4">
        <v>24.1</v>
      </c>
      <c r="M4">
        <v>7581.1009999999997</v>
      </c>
      <c r="N4">
        <v>7.2020499999999998</v>
      </c>
    </row>
    <row r="5" spans="1:14" x14ac:dyDescent="0.2">
      <c r="A5" t="s">
        <v>164</v>
      </c>
      <c r="B5" t="s">
        <v>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24</v>
      </c>
      <c r="I5">
        <v>126</v>
      </c>
      <c r="J5">
        <v>3811.5</v>
      </c>
      <c r="K5">
        <v>113.8</v>
      </c>
      <c r="L5">
        <v>42.7</v>
      </c>
      <c r="M5">
        <v>65032.684000000001</v>
      </c>
      <c r="N5">
        <v>61.78105</v>
      </c>
    </row>
    <row r="6" spans="1:14" x14ac:dyDescent="0.2">
      <c r="A6" t="s">
        <v>164</v>
      </c>
      <c r="B6" t="s">
        <v>0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24</v>
      </c>
      <c r="I6">
        <v>11</v>
      </c>
      <c r="J6">
        <v>332.8</v>
      </c>
      <c r="K6">
        <v>25.3</v>
      </c>
      <c r="L6">
        <v>16.7</v>
      </c>
      <c r="M6">
        <v>2226.1880000000001</v>
      </c>
      <c r="N6">
        <v>2.1148799999999999</v>
      </c>
    </row>
    <row r="7" spans="1:14" x14ac:dyDescent="0.2">
      <c r="A7" t="s">
        <v>164</v>
      </c>
      <c r="B7" t="s">
        <v>0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41</v>
      </c>
      <c r="I7">
        <v>60</v>
      </c>
      <c r="J7">
        <v>1815</v>
      </c>
      <c r="K7">
        <v>80.599999999999994</v>
      </c>
      <c r="L7">
        <v>28.7</v>
      </c>
      <c r="M7">
        <v>20815.740000000002</v>
      </c>
      <c r="N7">
        <v>19.77495</v>
      </c>
    </row>
    <row r="8" spans="1:14" x14ac:dyDescent="0.2">
      <c r="A8" t="s">
        <v>164</v>
      </c>
      <c r="B8" t="s">
        <v>0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41</v>
      </c>
      <c r="I8">
        <v>127</v>
      </c>
      <c r="J8">
        <v>3841.8</v>
      </c>
      <c r="K8">
        <v>112.9</v>
      </c>
      <c r="L8">
        <v>43.3</v>
      </c>
      <c r="M8">
        <v>66562.976999999999</v>
      </c>
      <c r="N8">
        <v>63.234830000000002</v>
      </c>
    </row>
    <row r="9" spans="1:14" x14ac:dyDescent="0.2">
      <c r="A9" t="s">
        <v>164</v>
      </c>
      <c r="B9" t="s">
        <v>54</v>
      </c>
      <c r="C9" t="s">
        <v>12</v>
      </c>
      <c r="D9" t="s">
        <v>56</v>
      </c>
      <c r="E9" t="s">
        <v>57</v>
      </c>
      <c r="F9" t="s">
        <v>58</v>
      </c>
      <c r="G9" t="s">
        <v>59</v>
      </c>
      <c r="H9" t="s">
        <v>17</v>
      </c>
      <c r="I9">
        <v>47</v>
      </c>
      <c r="J9">
        <v>1421.8</v>
      </c>
      <c r="K9">
        <v>56.9</v>
      </c>
      <c r="L9">
        <v>31.8</v>
      </c>
      <c r="M9">
        <v>18079.223000000002</v>
      </c>
      <c r="N9">
        <v>24.94933</v>
      </c>
    </row>
    <row r="10" spans="1:14" x14ac:dyDescent="0.2">
      <c r="A10" t="s">
        <v>164</v>
      </c>
      <c r="B10" t="s">
        <v>54</v>
      </c>
      <c r="C10" t="s">
        <v>19</v>
      </c>
      <c r="D10" t="s">
        <v>60</v>
      </c>
      <c r="E10" t="s">
        <v>61</v>
      </c>
      <c r="F10" t="s">
        <v>62</v>
      </c>
      <c r="G10" t="s">
        <v>63</v>
      </c>
      <c r="H10" t="s">
        <v>17</v>
      </c>
      <c r="I10">
        <v>69</v>
      </c>
      <c r="J10">
        <v>2087.3000000000002</v>
      </c>
      <c r="K10">
        <v>123.7</v>
      </c>
      <c r="L10">
        <v>21.5</v>
      </c>
      <c r="M10">
        <v>17943.853999999999</v>
      </c>
      <c r="N10">
        <v>24.762519999999999</v>
      </c>
    </row>
    <row r="11" spans="1:14" x14ac:dyDescent="0.2">
      <c r="A11" t="s">
        <v>164</v>
      </c>
      <c r="B11" t="s">
        <v>54</v>
      </c>
      <c r="C11" t="s">
        <v>26</v>
      </c>
      <c r="D11" t="s">
        <v>64</v>
      </c>
      <c r="E11" t="s">
        <v>65</v>
      </c>
      <c r="F11" t="s">
        <v>66</v>
      </c>
      <c r="G11" t="s">
        <v>67</v>
      </c>
      <c r="H11" t="s">
        <v>17</v>
      </c>
      <c r="I11">
        <v>1018</v>
      </c>
      <c r="J11">
        <v>30794.5</v>
      </c>
      <c r="K11">
        <v>648.5</v>
      </c>
      <c r="L11">
        <v>60.5</v>
      </c>
      <c r="M11">
        <v>744765.75</v>
      </c>
      <c r="N11">
        <v>1027.77675</v>
      </c>
    </row>
    <row r="12" spans="1:14" x14ac:dyDescent="0.2">
      <c r="A12" t="s">
        <v>164</v>
      </c>
      <c r="B12" t="s">
        <v>54</v>
      </c>
      <c r="C12" t="s">
        <v>31</v>
      </c>
      <c r="D12" t="s">
        <v>68</v>
      </c>
      <c r="E12" t="s">
        <v>69</v>
      </c>
      <c r="F12" t="s">
        <v>70</v>
      </c>
      <c r="G12" t="s">
        <v>71</v>
      </c>
      <c r="H12" t="s">
        <v>17</v>
      </c>
      <c r="I12">
        <v>27</v>
      </c>
      <c r="J12">
        <v>816.8</v>
      </c>
      <c r="K12">
        <v>37.6</v>
      </c>
      <c r="L12">
        <v>27.7</v>
      </c>
      <c r="M12">
        <v>9042.8320000000003</v>
      </c>
      <c r="N12">
        <v>12.47911</v>
      </c>
    </row>
    <row r="13" spans="1:14" x14ac:dyDescent="0.2">
      <c r="A13" t="s">
        <v>164</v>
      </c>
      <c r="B13" t="s">
        <v>54</v>
      </c>
      <c r="C13" t="s">
        <v>36</v>
      </c>
      <c r="D13" t="s">
        <v>72</v>
      </c>
      <c r="E13" t="s">
        <v>73</v>
      </c>
      <c r="F13" t="s">
        <v>74</v>
      </c>
      <c r="G13" t="s">
        <v>75</v>
      </c>
      <c r="H13" t="s">
        <v>17</v>
      </c>
      <c r="I13">
        <v>49</v>
      </c>
      <c r="J13">
        <v>1482.3</v>
      </c>
      <c r="K13">
        <v>83.2</v>
      </c>
      <c r="L13">
        <v>22.7</v>
      </c>
      <c r="M13">
        <v>13452.697</v>
      </c>
      <c r="N13">
        <v>18.564720000000001</v>
      </c>
    </row>
    <row r="14" spans="1:14" x14ac:dyDescent="0.2">
      <c r="A14" t="s">
        <v>164</v>
      </c>
      <c r="B14" t="s">
        <v>54</v>
      </c>
      <c r="C14" t="s">
        <v>42</v>
      </c>
      <c r="D14" t="s">
        <v>76</v>
      </c>
      <c r="E14" t="s">
        <v>77</v>
      </c>
      <c r="F14" t="s">
        <v>78</v>
      </c>
      <c r="G14" t="s">
        <v>79</v>
      </c>
      <c r="H14" t="s">
        <v>17</v>
      </c>
      <c r="I14">
        <v>44</v>
      </c>
      <c r="J14">
        <v>1331</v>
      </c>
      <c r="K14">
        <v>53.8</v>
      </c>
      <c r="L14">
        <v>31.5</v>
      </c>
      <c r="M14">
        <v>16785.039000000001</v>
      </c>
      <c r="N14">
        <v>23.163350000000001</v>
      </c>
    </row>
    <row r="15" spans="1:14" x14ac:dyDescent="0.2">
      <c r="A15" t="s">
        <v>164</v>
      </c>
      <c r="B15" t="s">
        <v>54</v>
      </c>
      <c r="C15" t="s">
        <v>48</v>
      </c>
      <c r="D15" t="s">
        <v>80</v>
      </c>
      <c r="E15" t="s">
        <v>81</v>
      </c>
      <c r="F15" t="s">
        <v>82</v>
      </c>
      <c r="G15" t="s">
        <v>83</v>
      </c>
      <c r="H15" t="s">
        <v>17</v>
      </c>
      <c r="I15">
        <v>87</v>
      </c>
      <c r="J15">
        <v>2631.8</v>
      </c>
      <c r="K15">
        <v>84.2</v>
      </c>
      <c r="L15">
        <v>39.799999999999997</v>
      </c>
      <c r="M15">
        <v>41870.733999999997</v>
      </c>
      <c r="N15">
        <v>57.781610000000001</v>
      </c>
    </row>
    <row r="16" spans="1:14" x14ac:dyDescent="0.2">
      <c r="A16" t="s">
        <v>164</v>
      </c>
      <c r="B16" t="s">
        <v>54</v>
      </c>
      <c r="C16" t="s">
        <v>84</v>
      </c>
      <c r="D16" t="s">
        <v>85</v>
      </c>
      <c r="E16" t="s">
        <v>86</v>
      </c>
      <c r="F16" t="s">
        <v>87</v>
      </c>
      <c r="G16" t="s">
        <v>88</v>
      </c>
      <c r="H16" t="s">
        <v>17</v>
      </c>
      <c r="I16">
        <v>38</v>
      </c>
      <c r="J16">
        <v>1149.5</v>
      </c>
      <c r="K16">
        <v>50.3</v>
      </c>
      <c r="L16">
        <v>29.1</v>
      </c>
      <c r="M16">
        <v>13366.058999999999</v>
      </c>
      <c r="N16">
        <v>18.445160000000001</v>
      </c>
    </row>
    <row r="17" spans="1:14" x14ac:dyDescent="0.2">
      <c r="A17" t="s">
        <v>164</v>
      </c>
      <c r="B17" t="s">
        <v>54</v>
      </c>
      <c r="C17" t="s">
        <v>89</v>
      </c>
      <c r="D17" t="s">
        <v>90</v>
      </c>
      <c r="E17" t="s">
        <v>91</v>
      </c>
      <c r="F17" t="s">
        <v>92</v>
      </c>
      <c r="G17" t="s">
        <v>93</v>
      </c>
      <c r="H17" t="s">
        <v>17</v>
      </c>
      <c r="I17">
        <v>47</v>
      </c>
      <c r="J17">
        <v>1421.8</v>
      </c>
      <c r="K17">
        <v>100</v>
      </c>
      <c r="L17">
        <v>18.100000000000001</v>
      </c>
      <c r="M17">
        <v>10290.161</v>
      </c>
      <c r="N17">
        <v>14.200419999999999</v>
      </c>
    </row>
    <row r="18" spans="1:14" x14ac:dyDescent="0.2">
      <c r="A18" t="s">
        <v>164</v>
      </c>
      <c r="B18" t="s">
        <v>54</v>
      </c>
      <c r="C18" t="s">
        <v>94</v>
      </c>
      <c r="D18" t="s">
        <v>95</v>
      </c>
      <c r="E18" t="s">
        <v>96</v>
      </c>
      <c r="F18" t="s">
        <v>97</v>
      </c>
      <c r="G18" t="s">
        <v>98</v>
      </c>
      <c r="H18" t="s">
        <v>17</v>
      </c>
      <c r="I18">
        <v>28</v>
      </c>
      <c r="J18">
        <v>847</v>
      </c>
      <c r="K18">
        <v>44.2</v>
      </c>
      <c r="L18">
        <v>24.4</v>
      </c>
      <c r="M18">
        <v>8267.2209999999995</v>
      </c>
      <c r="N18">
        <v>11.408759999999999</v>
      </c>
    </row>
    <row r="19" spans="1:14" x14ac:dyDescent="0.2">
      <c r="A19" t="s">
        <v>164</v>
      </c>
      <c r="B19" t="s">
        <v>54</v>
      </c>
      <c r="C19" t="s">
        <v>99</v>
      </c>
      <c r="D19" t="s">
        <v>100</v>
      </c>
      <c r="E19" t="s">
        <v>101</v>
      </c>
      <c r="F19" t="s">
        <v>102</v>
      </c>
      <c r="G19" t="s">
        <v>103</v>
      </c>
      <c r="H19" t="s">
        <v>24</v>
      </c>
      <c r="I19">
        <v>57</v>
      </c>
      <c r="J19">
        <v>1724.3</v>
      </c>
      <c r="K19">
        <v>85.5</v>
      </c>
      <c r="L19">
        <v>25.7</v>
      </c>
      <c r="M19">
        <v>17714.133000000002</v>
      </c>
      <c r="N19">
        <v>16.828430000000001</v>
      </c>
    </row>
    <row r="20" spans="1:14" x14ac:dyDescent="0.2">
      <c r="A20" t="s">
        <v>164</v>
      </c>
      <c r="B20" t="s">
        <v>54</v>
      </c>
      <c r="C20" t="s">
        <v>104</v>
      </c>
      <c r="D20" t="s">
        <v>105</v>
      </c>
      <c r="E20" t="s">
        <v>106</v>
      </c>
      <c r="F20" t="s">
        <v>107</v>
      </c>
      <c r="G20" t="s">
        <v>108</v>
      </c>
      <c r="H20" t="s">
        <v>24</v>
      </c>
      <c r="I20">
        <v>28</v>
      </c>
      <c r="J20">
        <v>847</v>
      </c>
      <c r="K20">
        <v>39.1</v>
      </c>
      <c r="L20">
        <v>27.6</v>
      </c>
      <c r="M20">
        <v>9334.1540000000005</v>
      </c>
      <c r="N20">
        <v>8.8674499999999998</v>
      </c>
    </row>
    <row r="21" spans="1:14" x14ac:dyDescent="0.2">
      <c r="A21" t="s">
        <v>164</v>
      </c>
      <c r="B21" t="s">
        <v>54</v>
      </c>
      <c r="C21" t="s">
        <v>109</v>
      </c>
      <c r="D21" t="s">
        <v>110</v>
      </c>
      <c r="E21" t="s">
        <v>111</v>
      </c>
      <c r="F21" t="s">
        <v>112</v>
      </c>
      <c r="G21" t="s">
        <v>113</v>
      </c>
      <c r="H21" t="s">
        <v>24</v>
      </c>
      <c r="I21">
        <v>2028</v>
      </c>
      <c r="J21">
        <v>61347</v>
      </c>
      <c r="K21">
        <v>587.9</v>
      </c>
      <c r="L21">
        <v>132.9</v>
      </c>
      <c r="M21">
        <v>3260415.25</v>
      </c>
      <c r="N21">
        <v>3097.3944999999999</v>
      </c>
    </row>
    <row r="22" spans="1:14" x14ac:dyDescent="0.2">
      <c r="A22" t="s">
        <v>164</v>
      </c>
      <c r="B22" t="s">
        <v>54</v>
      </c>
      <c r="C22" t="s">
        <v>114</v>
      </c>
      <c r="D22" t="s">
        <v>115</v>
      </c>
      <c r="E22" t="s">
        <v>116</v>
      </c>
      <c r="F22" t="s">
        <v>117</v>
      </c>
      <c r="G22" t="s">
        <v>118</v>
      </c>
      <c r="H22" t="s">
        <v>24</v>
      </c>
      <c r="I22">
        <v>15</v>
      </c>
      <c r="J22">
        <v>453.8</v>
      </c>
      <c r="K22">
        <v>28.8</v>
      </c>
      <c r="L22">
        <v>20</v>
      </c>
      <c r="M22">
        <v>3636.5590000000002</v>
      </c>
      <c r="N22">
        <v>3.4547300000000001</v>
      </c>
    </row>
    <row r="23" spans="1:14" x14ac:dyDescent="0.2">
      <c r="A23" t="s">
        <v>164</v>
      </c>
      <c r="B23" t="s">
        <v>54</v>
      </c>
      <c r="C23" t="s">
        <v>119</v>
      </c>
      <c r="D23" t="s">
        <v>120</v>
      </c>
      <c r="E23" t="s">
        <v>121</v>
      </c>
      <c r="F23" t="s">
        <v>122</v>
      </c>
      <c r="G23" t="s">
        <v>123</v>
      </c>
      <c r="H23" t="s">
        <v>24</v>
      </c>
      <c r="I23">
        <v>44</v>
      </c>
      <c r="J23">
        <v>1331</v>
      </c>
      <c r="K23">
        <v>56.5</v>
      </c>
      <c r="L23">
        <v>30</v>
      </c>
      <c r="M23">
        <v>15971.519</v>
      </c>
      <c r="N23">
        <v>15.172940000000001</v>
      </c>
    </row>
    <row r="24" spans="1:14" x14ac:dyDescent="0.2">
      <c r="A24" t="s">
        <v>164</v>
      </c>
      <c r="B24" t="s">
        <v>54</v>
      </c>
      <c r="C24" t="s">
        <v>124</v>
      </c>
      <c r="D24" t="s">
        <v>125</v>
      </c>
      <c r="E24" t="s">
        <v>126</v>
      </c>
      <c r="F24" t="s">
        <v>127</v>
      </c>
      <c r="G24" t="s">
        <v>128</v>
      </c>
      <c r="H24" t="s">
        <v>24</v>
      </c>
      <c r="I24">
        <v>55</v>
      </c>
      <c r="J24">
        <v>1663.8</v>
      </c>
      <c r="K24">
        <v>60.8</v>
      </c>
      <c r="L24">
        <v>34.9</v>
      </c>
      <c r="M24">
        <v>23196.699000000001</v>
      </c>
      <c r="N24">
        <v>22.036860000000001</v>
      </c>
    </row>
    <row r="25" spans="1:14" x14ac:dyDescent="0.2">
      <c r="A25" t="s">
        <v>164</v>
      </c>
      <c r="B25" t="s">
        <v>54</v>
      </c>
      <c r="C25" t="s">
        <v>129</v>
      </c>
      <c r="D25" t="s">
        <v>130</v>
      </c>
      <c r="E25" t="s">
        <v>131</v>
      </c>
      <c r="F25" t="s">
        <v>132</v>
      </c>
      <c r="G25" t="s">
        <v>133</v>
      </c>
      <c r="H25" t="s">
        <v>24</v>
      </c>
      <c r="I25">
        <v>75</v>
      </c>
      <c r="J25">
        <v>2268.8000000000002</v>
      </c>
      <c r="K25">
        <v>93.2</v>
      </c>
      <c r="L25">
        <v>31</v>
      </c>
      <c r="M25">
        <v>28120.285</v>
      </c>
      <c r="N25">
        <v>26.714269999999999</v>
      </c>
    </row>
    <row r="26" spans="1:14" x14ac:dyDescent="0.2">
      <c r="A26" t="s">
        <v>164</v>
      </c>
      <c r="B26" t="s">
        <v>54</v>
      </c>
      <c r="C26" t="s">
        <v>134</v>
      </c>
      <c r="D26" t="s">
        <v>135</v>
      </c>
      <c r="E26" t="s">
        <v>136</v>
      </c>
      <c r="F26" t="s">
        <v>137</v>
      </c>
      <c r="G26" t="s">
        <v>138</v>
      </c>
      <c r="H26" t="s">
        <v>24</v>
      </c>
      <c r="I26">
        <v>187</v>
      </c>
      <c r="J26">
        <v>5656.8</v>
      </c>
      <c r="K26">
        <v>323.5</v>
      </c>
      <c r="L26">
        <v>22.3</v>
      </c>
      <c r="M26">
        <v>50382.527000000002</v>
      </c>
      <c r="N26">
        <v>47.863399999999999</v>
      </c>
    </row>
    <row r="27" spans="1:14" x14ac:dyDescent="0.2">
      <c r="A27" t="s">
        <v>164</v>
      </c>
      <c r="B27" t="s">
        <v>54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24</v>
      </c>
      <c r="I27">
        <v>12</v>
      </c>
      <c r="J27">
        <v>363</v>
      </c>
      <c r="K27">
        <v>28.2</v>
      </c>
      <c r="L27">
        <v>16.399999999999999</v>
      </c>
      <c r="M27">
        <v>2381.7020000000002</v>
      </c>
      <c r="N27">
        <v>2.2626200000000001</v>
      </c>
    </row>
    <row r="28" spans="1:14" x14ac:dyDescent="0.2">
      <c r="A28" t="s">
        <v>164</v>
      </c>
      <c r="B28" t="s">
        <v>54</v>
      </c>
      <c r="C28" t="s">
        <v>144</v>
      </c>
      <c r="D28" t="s">
        <v>145</v>
      </c>
      <c r="E28" t="s">
        <v>146</v>
      </c>
      <c r="F28" t="s">
        <v>147</v>
      </c>
      <c r="G28" t="s">
        <v>148</v>
      </c>
      <c r="H28" t="s">
        <v>24</v>
      </c>
      <c r="I28">
        <v>51</v>
      </c>
      <c r="J28">
        <v>1542.8</v>
      </c>
      <c r="K28">
        <v>91.7</v>
      </c>
      <c r="L28">
        <v>21.4</v>
      </c>
      <c r="M28">
        <v>13222.718000000001</v>
      </c>
      <c r="N28">
        <v>12.561579999999999</v>
      </c>
    </row>
    <row r="29" spans="1:14" x14ac:dyDescent="0.2">
      <c r="A29" t="s">
        <v>164</v>
      </c>
      <c r="B29" t="s">
        <v>54</v>
      </c>
      <c r="C29" t="s">
        <v>149</v>
      </c>
      <c r="D29" t="s">
        <v>150</v>
      </c>
      <c r="E29" t="s">
        <v>151</v>
      </c>
      <c r="F29" t="s">
        <v>152</v>
      </c>
      <c r="G29" t="s">
        <v>153</v>
      </c>
      <c r="H29" t="s">
        <v>24</v>
      </c>
      <c r="I29">
        <v>36</v>
      </c>
      <c r="J29">
        <v>1089</v>
      </c>
      <c r="K29">
        <v>51.7</v>
      </c>
      <c r="L29">
        <v>26.8</v>
      </c>
      <c r="M29">
        <v>11688.572</v>
      </c>
      <c r="N29">
        <v>11.104139999999999</v>
      </c>
    </row>
    <row r="30" spans="1:14" x14ac:dyDescent="0.2">
      <c r="A30" t="s">
        <v>164</v>
      </c>
      <c r="B30" t="s">
        <v>54</v>
      </c>
      <c r="C30" t="s">
        <v>154</v>
      </c>
      <c r="D30" t="s">
        <v>155</v>
      </c>
      <c r="E30" t="s">
        <v>156</v>
      </c>
      <c r="F30" t="s">
        <v>157</v>
      </c>
      <c r="G30" t="s">
        <v>158</v>
      </c>
      <c r="H30" t="s">
        <v>41</v>
      </c>
      <c r="I30">
        <v>51</v>
      </c>
      <c r="J30">
        <v>1542.8</v>
      </c>
      <c r="K30">
        <v>61</v>
      </c>
      <c r="L30">
        <v>32.200000000000003</v>
      </c>
      <c r="M30">
        <v>19857.011999999999</v>
      </c>
      <c r="N30">
        <v>18.864159999999998</v>
      </c>
    </row>
    <row r="31" spans="1:14" x14ac:dyDescent="0.2">
      <c r="A31" t="s">
        <v>164</v>
      </c>
      <c r="B31" t="s">
        <v>54</v>
      </c>
      <c r="C31" t="s">
        <v>159</v>
      </c>
      <c r="D31" t="s">
        <v>160</v>
      </c>
      <c r="E31" t="s">
        <v>161</v>
      </c>
      <c r="F31" t="s">
        <v>162</v>
      </c>
      <c r="G31" t="s">
        <v>163</v>
      </c>
      <c r="H31" t="s">
        <v>41</v>
      </c>
      <c r="I31">
        <v>22</v>
      </c>
      <c r="J31">
        <v>665.5</v>
      </c>
      <c r="K31">
        <v>64</v>
      </c>
      <c r="L31">
        <v>13.2</v>
      </c>
      <c r="M31">
        <v>3526.2930000000001</v>
      </c>
      <c r="N31">
        <v>3.34998</v>
      </c>
    </row>
    <row r="32" spans="1:14" x14ac:dyDescent="0.2">
      <c r="A32" t="s">
        <v>221</v>
      </c>
      <c r="B32" t="s">
        <v>165</v>
      </c>
      <c r="C32" t="s">
        <v>12</v>
      </c>
      <c r="D32" t="s">
        <v>155</v>
      </c>
      <c r="E32" t="s">
        <v>166</v>
      </c>
      <c r="F32" t="s">
        <v>157</v>
      </c>
      <c r="G32" t="s">
        <v>167</v>
      </c>
      <c r="H32" t="s">
        <v>17</v>
      </c>
      <c r="I32">
        <v>300</v>
      </c>
      <c r="J32">
        <v>9075</v>
      </c>
      <c r="K32">
        <v>238.1</v>
      </c>
      <c r="L32">
        <v>48.5</v>
      </c>
      <c r="M32">
        <v>176186.31299999999</v>
      </c>
      <c r="N32">
        <v>243.13711000000001</v>
      </c>
    </row>
    <row r="33" spans="1:14" x14ac:dyDescent="0.2">
      <c r="A33" t="s">
        <v>221</v>
      </c>
      <c r="B33" t="s">
        <v>165</v>
      </c>
      <c r="C33" t="s">
        <v>19</v>
      </c>
      <c r="D33" t="s">
        <v>168</v>
      </c>
      <c r="E33" t="s">
        <v>169</v>
      </c>
      <c r="F33" t="s">
        <v>170</v>
      </c>
      <c r="G33" t="s">
        <v>171</v>
      </c>
      <c r="H33" t="s">
        <v>17</v>
      </c>
      <c r="I33">
        <v>69</v>
      </c>
      <c r="J33">
        <v>2087.3000000000002</v>
      </c>
      <c r="K33">
        <v>94.6</v>
      </c>
      <c r="L33">
        <v>28.1</v>
      </c>
      <c r="M33">
        <v>23452.317999999999</v>
      </c>
      <c r="N33">
        <v>32.364199999999997</v>
      </c>
    </row>
    <row r="34" spans="1:14" x14ac:dyDescent="0.2">
      <c r="A34" t="s">
        <v>221</v>
      </c>
      <c r="B34" t="s">
        <v>165</v>
      </c>
      <c r="C34" t="s">
        <v>26</v>
      </c>
      <c r="D34" t="s">
        <v>172</v>
      </c>
      <c r="E34" t="s">
        <v>173</v>
      </c>
      <c r="F34" t="s">
        <v>174</v>
      </c>
      <c r="G34" t="s">
        <v>175</v>
      </c>
      <c r="H34" t="s">
        <v>17</v>
      </c>
      <c r="I34">
        <v>20</v>
      </c>
      <c r="J34">
        <v>605</v>
      </c>
      <c r="K34">
        <v>61.6</v>
      </c>
      <c r="L34">
        <v>12.5</v>
      </c>
      <c r="M34">
        <v>3026.748</v>
      </c>
      <c r="N34">
        <v>4.1769100000000003</v>
      </c>
    </row>
    <row r="35" spans="1:14" x14ac:dyDescent="0.2">
      <c r="A35" t="s">
        <v>221</v>
      </c>
      <c r="B35" t="s">
        <v>165</v>
      </c>
      <c r="C35" t="s">
        <v>31</v>
      </c>
      <c r="D35" t="s">
        <v>176</v>
      </c>
      <c r="E35" t="s">
        <v>177</v>
      </c>
      <c r="F35" t="s">
        <v>178</v>
      </c>
      <c r="G35" t="s">
        <v>179</v>
      </c>
      <c r="H35" t="s">
        <v>17</v>
      </c>
      <c r="I35">
        <v>345</v>
      </c>
      <c r="J35">
        <v>10436.299999999999</v>
      </c>
      <c r="K35">
        <v>198.7</v>
      </c>
      <c r="L35">
        <v>66.900000000000006</v>
      </c>
      <c r="M35">
        <v>279123.06300000002</v>
      </c>
      <c r="N35">
        <v>385.18981000000002</v>
      </c>
    </row>
    <row r="36" spans="1:14" x14ac:dyDescent="0.2">
      <c r="A36" t="s">
        <v>221</v>
      </c>
      <c r="B36" t="s">
        <v>165</v>
      </c>
      <c r="C36" t="s">
        <v>36</v>
      </c>
      <c r="D36" t="s">
        <v>180</v>
      </c>
      <c r="E36" t="s">
        <v>181</v>
      </c>
      <c r="F36" t="s">
        <v>182</v>
      </c>
      <c r="G36" t="s">
        <v>183</v>
      </c>
      <c r="H36" t="s">
        <v>17</v>
      </c>
      <c r="I36">
        <v>328</v>
      </c>
      <c r="J36">
        <v>9922</v>
      </c>
      <c r="K36">
        <v>294.60000000000002</v>
      </c>
      <c r="L36">
        <v>42.9</v>
      </c>
      <c r="M36">
        <v>170168.65599999999</v>
      </c>
      <c r="N36">
        <v>234.83275</v>
      </c>
    </row>
    <row r="37" spans="1:14" x14ac:dyDescent="0.2">
      <c r="A37" t="s">
        <v>221</v>
      </c>
      <c r="B37" t="s">
        <v>165</v>
      </c>
      <c r="C37" t="s">
        <v>42</v>
      </c>
      <c r="D37" t="s">
        <v>184</v>
      </c>
      <c r="E37" t="s">
        <v>185</v>
      </c>
      <c r="F37" t="s">
        <v>186</v>
      </c>
      <c r="G37" t="s">
        <v>187</v>
      </c>
      <c r="H37" t="s">
        <v>17</v>
      </c>
      <c r="I37">
        <v>33</v>
      </c>
      <c r="J37">
        <v>998.3</v>
      </c>
      <c r="K37">
        <v>50.3</v>
      </c>
      <c r="L37">
        <v>25.3</v>
      </c>
      <c r="M37">
        <v>10087.210999999999</v>
      </c>
      <c r="N37">
        <v>13.920349999999999</v>
      </c>
    </row>
    <row r="38" spans="1:14" x14ac:dyDescent="0.2">
      <c r="A38" t="s">
        <v>221</v>
      </c>
      <c r="B38" t="s">
        <v>165</v>
      </c>
      <c r="C38" t="s">
        <v>48</v>
      </c>
      <c r="D38" t="s">
        <v>188</v>
      </c>
      <c r="E38" t="s">
        <v>189</v>
      </c>
      <c r="F38" t="s">
        <v>190</v>
      </c>
      <c r="G38" t="s">
        <v>191</v>
      </c>
      <c r="H38" t="s">
        <v>17</v>
      </c>
      <c r="I38">
        <v>169</v>
      </c>
      <c r="J38">
        <v>5112.3</v>
      </c>
      <c r="K38">
        <v>225.7</v>
      </c>
      <c r="L38">
        <v>28.8</v>
      </c>
      <c r="M38">
        <v>58974.292999999998</v>
      </c>
      <c r="N38">
        <v>81.384519999999995</v>
      </c>
    </row>
    <row r="39" spans="1:14" x14ac:dyDescent="0.2">
      <c r="A39" t="s">
        <v>221</v>
      </c>
      <c r="B39" t="s">
        <v>165</v>
      </c>
      <c r="C39" t="s">
        <v>84</v>
      </c>
      <c r="D39" t="s">
        <v>192</v>
      </c>
      <c r="E39" t="s">
        <v>193</v>
      </c>
      <c r="F39" t="s">
        <v>194</v>
      </c>
      <c r="G39" t="s">
        <v>195</v>
      </c>
      <c r="H39" t="s">
        <v>17</v>
      </c>
      <c r="I39">
        <v>19</v>
      </c>
      <c r="J39">
        <v>574.79999999999995</v>
      </c>
      <c r="K39">
        <v>48.5</v>
      </c>
      <c r="L39">
        <v>15.1</v>
      </c>
      <c r="M39">
        <v>3471.9789999999998</v>
      </c>
      <c r="N39">
        <v>4.7913300000000003</v>
      </c>
    </row>
    <row r="40" spans="1:14" x14ac:dyDescent="0.2">
      <c r="A40" t="s">
        <v>221</v>
      </c>
      <c r="B40" t="s">
        <v>165</v>
      </c>
      <c r="C40" t="s">
        <v>89</v>
      </c>
      <c r="D40" t="s">
        <v>196</v>
      </c>
      <c r="E40" t="s">
        <v>197</v>
      </c>
      <c r="F40" t="s">
        <v>198</v>
      </c>
      <c r="G40" t="s">
        <v>199</v>
      </c>
      <c r="H40" t="s">
        <v>24</v>
      </c>
      <c r="I40">
        <v>71</v>
      </c>
      <c r="J40">
        <v>2147.8000000000002</v>
      </c>
      <c r="K40">
        <v>91.9</v>
      </c>
      <c r="L40">
        <v>29.7</v>
      </c>
      <c r="M40">
        <v>25553.123</v>
      </c>
      <c r="N40">
        <v>24.275469999999999</v>
      </c>
    </row>
    <row r="41" spans="1:14" x14ac:dyDescent="0.2">
      <c r="A41" t="s">
        <v>221</v>
      </c>
      <c r="B41" t="s">
        <v>165</v>
      </c>
      <c r="C41" t="s">
        <v>94</v>
      </c>
      <c r="D41" t="s">
        <v>200</v>
      </c>
      <c r="E41" t="s">
        <v>201</v>
      </c>
      <c r="F41" t="s">
        <v>202</v>
      </c>
      <c r="G41" t="s">
        <v>203</v>
      </c>
      <c r="H41" t="s">
        <v>24</v>
      </c>
      <c r="I41">
        <v>30</v>
      </c>
      <c r="J41">
        <v>907.5</v>
      </c>
      <c r="K41">
        <v>54.5</v>
      </c>
      <c r="L41">
        <v>21.2</v>
      </c>
      <c r="M41">
        <v>7694.6009999999997</v>
      </c>
      <c r="N41">
        <v>7.3098700000000001</v>
      </c>
    </row>
    <row r="42" spans="1:14" x14ac:dyDescent="0.2">
      <c r="A42" t="s">
        <v>221</v>
      </c>
      <c r="B42" t="s">
        <v>165</v>
      </c>
      <c r="C42" t="s">
        <v>99</v>
      </c>
      <c r="D42" t="s">
        <v>204</v>
      </c>
      <c r="E42" t="s">
        <v>205</v>
      </c>
      <c r="F42" t="s">
        <v>206</v>
      </c>
      <c r="G42" t="s">
        <v>207</v>
      </c>
      <c r="H42" t="s">
        <v>41</v>
      </c>
      <c r="I42">
        <v>24</v>
      </c>
      <c r="J42">
        <v>726</v>
      </c>
      <c r="K42">
        <v>56.2</v>
      </c>
      <c r="L42">
        <v>16.399999999999999</v>
      </c>
      <c r="M42">
        <v>4775.8329999999996</v>
      </c>
      <c r="N42">
        <v>4.5370400000000002</v>
      </c>
    </row>
    <row r="43" spans="1:14" x14ac:dyDescent="0.2">
      <c r="A43" t="s">
        <v>221</v>
      </c>
      <c r="B43" t="s">
        <v>165</v>
      </c>
      <c r="C43" t="s">
        <v>104</v>
      </c>
      <c r="D43" t="s">
        <v>208</v>
      </c>
      <c r="E43" t="s">
        <v>209</v>
      </c>
      <c r="F43" t="s">
        <v>210</v>
      </c>
      <c r="G43" t="s">
        <v>211</v>
      </c>
      <c r="H43" t="s">
        <v>41</v>
      </c>
      <c r="I43">
        <v>37</v>
      </c>
      <c r="J43">
        <v>1119.3</v>
      </c>
      <c r="K43">
        <v>58.9</v>
      </c>
      <c r="L43">
        <v>24.2</v>
      </c>
      <c r="M43">
        <v>10824.026</v>
      </c>
      <c r="N43">
        <v>10.282830000000001</v>
      </c>
    </row>
    <row r="44" spans="1:14" x14ac:dyDescent="0.2">
      <c r="A44" t="s">
        <v>221</v>
      </c>
      <c r="B44" t="s">
        <v>212</v>
      </c>
      <c r="C44" t="s">
        <v>12</v>
      </c>
      <c r="D44" t="s">
        <v>213</v>
      </c>
      <c r="E44" t="s">
        <v>214</v>
      </c>
      <c r="F44" t="s">
        <v>215</v>
      </c>
      <c r="G44" t="s">
        <v>216</v>
      </c>
      <c r="H44" t="s">
        <v>17</v>
      </c>
      <c r="I44">
        <v>153</v>
      </c>
      <c r="J44">
        <v>4628.3</v>
      </c>
      <c r="K44">
        <v>184.4</v>
      </c>
      <c r="L44">
        <v>32</v>
      </c>
      <c r="M44">
        <v>59163.332000000002</v>
      </c>
      <c r="N44">
        <v>81.645399999999995</v>
      </c>
    </row>
    <row r="45" spans="1:14" x14ac:dyDescent="0.2">
      <c r="A45" t="s">
        <v>221</v>
      </c>
      <c r="B45" t="s">
        <v>212</v>
      </c>
      <c r="C45" t="s">
        <v>19</v>
      </c>
      <c r="D45" t="s">
        <v>217</v>
      </c>
      <c r="E45" t="s">
        <v>218</v>
      </c>
      <c r="F45" t="s">
        <v>219</v>
      </c>
      <c r="G45" t="s">
        <v>220</v>
      </c>
      <c r="H45" t="s">
        <v>24</v>
      </c>
      <c r="I45">
        <v>26</v>
      </c>
      <c r="J45">
        <v>786.5</v>
      </c>
      <c r="K45">
        <v>39</v>
      </c>
      <c r="L45">
        <v>25.7</v>
      </c>
      <c r="M45">
        <v>8087.2740000000003</v>
      </c>
      <c r="N45">
        <v>7.6829099999999997</v>
      </c>
    </row>
    <row r="46" spans="1:14" x14ac:dyDescent="0.2">
      <c r="A46" t="s">
        <v>289</v>
      </c>
      <c r="B46" t="s">
        <v>222</v>
      </c>
      <c r="C46" t="s">
        <v>12</v>
      </c>
      <c r="D46" t="s">
        <v>223</v>
      </c>
      <c r="E46" t="s">
        <v>224</v>
      </c>
      <c r="F46" t="s">
        <v>225</v>
      </c>
      <c r="G46" t="s">
        <v>226</v>
      </c>
      <c r="H46" t="s">
        <v>17</v>
      </c>
      <c r="I46">
        <v>83</v>
      </c>
      <c r="J46">
        <v>2510.8000000000002</v>
      </c>
      <c r="K46">
        <v>116.5</v>
      </c>
      <c r="L46">
        <v>27.4</v>
      </c>
      <c r="M46">
        <v>27555.563999999998</v>
      </c>
      <c r="N46">
        <v>38.026679999999999</v>
      </c>
    </row>
    <row r="47" spans="1:14" x14ac:dyDescent="0.2">
      <c r="A47" t="s">
        <v>289</v>
      </c>
      <c r="B47" t="s">
        <v>222</v>
      </c>
      <c r="C47" t="s">
        <v>19</v>
      </c>
      <c r="D47" t="s">
        <v>227</v>
      </c>
      <c r="E47" t="s">
        <v>33</v>
      </c>
      <c r="F47" t="s">
        <v>228</v>
      </c>
      <c r="G47" t="s">
        <v>35</v>
      </c>
      <c r="H47" t="s">
        <v>17</v>
      </c>
      <c r="I47">
        <v>77</v>
      </c>
      <c r="J47">
        <v>2329.3000000000002</v>
      </c>
      <c r="K47">
        <v>109.1</v>
      </c>
      <c r="L47">
        <v>27.2</v>
      </c>
      <c r="M47">
        <v>25337.83</v>
      </c>
      <c r="N47">
        <v>34.966209999999997</v>
      </c>
    </row>
    <row r="48" spans="1:14" x14ac:dyDescent="0.2">
      <c r="A48" t="s">
        <v>289</v>
      </c>
      <c r="B48" t="s">
        <v>222</v>
      </c>
      <c r="C48" t="s">
        <v>26</v>
      </c>
      <c r="D48" t="s">
        <v>229</v>
      </c>
      <c r="E48" t="s">
        <v>230</v>
      </c>
      <c r="F48" t="s">
        <v>231</v>
      </c>
      <c r="G48" t="s">
        <v>232</v>
      </c>
      <c r="H48" t="s">
        <v>17</v>
      </c>
      <c r="I48">
        <v>99</v>
      </c>
      <c r="J48">
        <v>2994.8</v>
      </c>
      <c r="K48">
        <v>128.19999999999999</v>
      </c>
      <c r="L48">
        <v>29.8</v>
      </c>
      <c r="M48">
        <v>35640.358999999997</v>
      </c>
      <c r="N48">
        <v>49.183700000000002</v>
      </c>
    </row>
    <row r="49" spans="1:14" x14ac:dyDescent="0.2">
      <c r="A49" t="s">
        <v>289</v>
      </c>
      <c r="B49" t="s">
        <v>222</v>
      </c>
      <c r="C49" t="s">
        <v>31</v>
      </c>
      <c r="D49" t="s">
        <v>233</v>
      </c>
      <c r="E49" t="s">
        <v>234</v>
      </c>
      <c r="F49" t="s">
        <v>235</v>
      </c>
      <c r="G49" t="s">
        <v>236</v>
      </c>
      <c r="H49" t="s">
        <v>24</v>
      </c>
      <c r="I49">
        <v>31</v>
      </c>
      <c r="J49">
        <v>937.8</v>
      </c>
      <c r="K49">
        <v>66.599999999999994</v>
      </c>
      <c r="L49">
        <v>17.899999999999999</v>
      </c>
      <c r="M49">
        <v>6722.5680000000002</v>
      </c>
      <c r="N49">
        <v>6.3864400000000003</v>
      </c>
    </row>
    <row r="50" spans="1:14" x14ac:dyDescent="0.2">
      <c r="A50" t="s">
        <v>289</v>
      </c>
      <c r="B50" t="s">
        <v>222</v>
      </c>
      <c r="C50" t="s">
        <v>36</v>
      </c>
      <c r="D50" t="s">
        <v>237</v>
      </c>
      <c r="E50" t="s">
        <v>238</v>
      </c>
      <c r="F50" t="s">
        <v>239</v>
      </c>
      <c r="G50" t="s">
        <v>240</v>
      </c>
      <c r="H50" t="s">
        <v>24</v>
      </c>
      <c r="I50">
        <v>59</v>
      </c>
      <c r="J50">
        <v>1784.8</v>
      </c>
      <c r="K50">
        <v>73.5</v>
      </c>
      <c r="L50">
        <v>30.9</v>
      </c>
      <c r="M50">
        <v>22064.155999999999</v>
      </c>
      <c r="N50">
        <v>20.96095</v>
      </c>
    </row>
    <row r="51" spans="1:14" x14ac:dyDescent="0.2">
      <c r="A51" t="s">
        <v>289</v>
      </c>
      <c r="B51" t="s">
        <v>222</v>
      </c>
      <c r="C51" t="s">
        <v>42</v>
      </c>
      <c r="D51" t="s">
        <v>241</v>
      </c>
      <c r="E51" t="s">
        <v>242</v>
      </c>
      <c r="F51" t="s">
        <v>243</v>
      </c>
      <c r="G51" t="s">
        <v>244</v>
      </c>
      <c r="H51" t="s">
        <v>24</v>
      </c>
      <c r="I51">
        <v>2906</v>
      </c>
      <c r="J51">
        <v>87906.5</v>
      </c>
      <c r="K51">
        <v>723.6</v>
      </c>
      <c r="L51">
        <v>154.69999999999999</v>
      </c>
      <c r="M51">
        <v>5439086.5</v>
      </c>
      <c r="N51">
        <v>5167.1319999999996</v>
      </c>
    </row>
    <row r="52" spans="1:14" x14ac:dyDescent="0.2">
      <c r="A52" t="s">
        <v>289</v>
      </c>
      <c r="B52" t="s">
        <v>222</v>
      </c>
      <c r="C52" t="s">
        <v>48</v>
      </c>
      <c r="D52" t="s">
        <v>245</v>
      </c>
      <c r="E52" t="s">
        <v>246</v>
      </c>
      <c r="F52" t="s">
        <v>247</v>
      </c>
      <c r="G52" t="s">
        <v>248</v>
      </c>
      <c r="H52" t="s">
        <v>24</v>
      </c>
      <c r="I52">
        <v>26</v>
      </c>
      <c r="J52">
        <v>786.5</v>
      </c>
      <c r="K52">
        <v>40.299999999999997</v>
      </c>
      <c r="L52">
        <v>24.9</v>
      </c>
      <c r="M52">
        <v>7820.3040000000001</v>
      </c>
      <c r="N52">
        <v>7.4292899999999999</v>
      </c>
    </row>
    <row r="53" spans="1:14" x14ac:dyDescent="0.2">
      <c r="A53" t="s">
        <v>289</v>
      </c>
      <c r="B53" t="s">
        <v>222</v>
      </c>
      <c r="C53" t="s">
        <v>84</v>
      </c>
      <c r="D53" t="s">
        <v>249</v>
      </c>
      <c r="E53" t="s">
        <v>250</v>
      </c>
      <c r="F53" t="s">
        <v>251</v>
      </c>
      <c r="G53" t="s">
        <v>252</v>
      </c>
      <c r="H53" t="s">
        <v>41</v>
      </c>
      <c r="I53">
        <v>570</v>
      </c>
      <c r="J53">
        <v>17242.5</v>
      </c>
      <c r="K53">
        <v>246.4</v>
      </c>
      <c r="L53">
        <v>89.1</v>
      </c>
      <c r="M53">
        <v>614443.125</v>
      </c>
      <c r="N53">
        <v>583.72094000000004</v>
      </c>
    </row>
    <row r="54" spans="1:14" x14ac:dyDescent="0.2">
      <c r="A54" t="s">
        <v>289</v>
      </c>
      <c r="B54" t="s">
        <v>222</v>
      </c>
      <c r="C54" t="s">
        <v>89</v>
      </c>
      <c r="D54" t="s">
        <v>253</v>
      </c>
      <c r="E54" t="s">
        <v>254</v>
      </c>
      <c r="F54" t="s">
        <v>255</v>
      </c>
      <c r="G54" t="s">
        <v>256</v>
      </c>
      <c r="H54" t="s">
        <v>41</v>
      </c>
      <c r="I54">
        <v>101</v>
      </c>
      <c r="J54">
        <v>3055.3</v>
      </c>
      <c r="K54">
        <v>173.4</v>
      </c>
      <c r="L54">
        <v>22.4</v>
      </c>
      <c r="M54">
        <v>27420.241999999998</v>
      </c>
      <c r="N54">
        <v>26.049230000000001</v>
      </c>
    </row>
    <row r="55" spans="1:14" x14ac:dyDescent="0.2">
      <c r="A55" t="s">
        <v>289</v>
      </c>
      <c r="B55" t="s">
        <v>222</v>
      </c>
      <c r="C55" t="s">
        <v>94</v>
      </c>
      <c r="D55" t="s">
        <v>257</v>
      </c>
      <c r="E55" t="s">
        <v>258</v>
      </c>
      <c r="F55" t="s">
        <v>233</v>
      </c>
      <c r="G55" t="s">
        <v>259</v>
      </c>
      <c r="H55" t="s">
        <v>41</v>
      </c>
      <c r="I55">
        <v>166</v>
      </c>
      <c r="J55">
        <v>5021.5</v>
      </c>
      <c r="K55">
        <v>236</v>
      </c>
      <c r="L55">
        <v>27.1</v>
      </c>
      <c r="M55">
        <v>54411.949000000001</v>
      </c>
      <c r="N55">
        <v>51.69135</v>
      </c>
    </row>
    <row r="56" spans="1:14" x14ac:dyDescent="0.2">
      <c r="A56" t="s">
        <v>289</v>
      </c>
      <c r="B56" t="s">
        <v>260</v>
      </c>
      <c r="C56" t="s">
        <v>12</v>
      </c>
      <c r="D56" t="s">
        <v>261</v>
      </c>
      <c r="E56" t="s">
        <v>262</v>
      </c>
      <c r="F56" t="s">
        <v>263</v>
      </c>
      <c r="G56" t="s">
        <v>264</v>
      </c>
      <c r="H56" t="s">
        <v>17</v>
      </c>
      <c r="I56">
        <v>53</v>
      </c>
      <c r="J56">
        <v>1603.3</v>
      </c>
      <c r="K56">
        <v>63.8</v>
      </c>
      <c r="L56">
        <v>32</v>
      </c>
      <c r="M56">
        <v>20509.395</v>
      </c>
      <c r="N56">
        <v>28.302959999999999</v>
      </c>
    </row>
    <row r="57" spans="1:14" x14ac:dyDescent="0.2">
      <c r="A57" t="s">
        <v>289</v>
      </c>
      <c r="B57" t="s">
        <v>260</v>
      </c>
      <c r="C57" t="s">
        <v>19</v>
      </c>
      <c r="D57" t="s">
        <v>265</v>
      </c>
      <c r="E57" t="s">
        <v>266</v>
      </c>
      <c r="F57" t="s">
        <v>267</v>
      </c>
      <c r="G57" t="s">
        <v>268</v>
      </c>
      <c r="H57" t="s">
        <v>17</v>
      </c>
      <c r="I57">
        <v>48</v>
      </c>
      <c r="J57">
        <v>1452</v>
      </c>
      <c r="K57">
        <v>109.1</v>
      </c>
      <c r="L57">
        <v>17</v>
      </c>
      <c r="M57">
        <v>9846.241</v>
      </c>
      <c r="N57">
        <v>13.587809999999999</v>
      </c>
    </row>
    <row r="58" spans="1:14" x14ac:dyDescent="0.2">
      <c r="A58" t="s">
        <v>289</v>
      </c>
      <c r="B58" t="s">
        <v>260</v>
      </c>
      <c r="C58" t="s">
        <v>26</v>
      </c>
      <c r="D58" t="s">
        <v>269</v>
      </c>
      <c r="E58" t="s">
        <v>270</v>
      </c>
      <c r="F58" t="s">
        <v>271</v>
      </c>
      <c r="G58" t="s">
        <v>272</v>
      </c>
      <c r="H58" t="s">
        <v>24</v>
      </c>
      <c r="I58">
        <v>52</v>
      </c>
      <c r="J58">
        <v>1573</v>
      </c>
      <c r="K58">
        <v>112.8</v>
      </c>
      <c r="L58">
        <v>17.8</v>
      </c>
      <c r="M58">
        <v>11174.353999999999</v>
      </c>
      <c r="N58">
        <v>10.615640000000001</v>
      </c>
    </row>
    <row r="59" spans="1:14" x14ac:dyDescent="0.2">
      <c r="A59" t="s">
        <v>289</v>
      </c>
      <c r="B59" t="s">
        <v>260</v>
      </c>
      <c r="C59" t="s">
        <v>31</v>
      </c>
      <c r="D59" t="s">
        <v>273</v>
      </c>
      <c r="E59" t="s">
        <v>274</v>
      </c>
      <c r="F59" t="s">
        <v>275</v>
      </c>
      <c r="G59" t="s">
        <v>276</v>
      </c>
      <c r="H59" t="s">
        <v>24</v>
      </c>
      <c r="I59">
        <v>10</v>
      </c>
      <c r="J59">
        <v>302.5</v>
      </c>
      <c r="K59">
        <v>30.1</v>
      </c>
      <c r="L59">
        <v>12.8</v>
      </c>
      <c r="M59">
        <v>1548.4649999999999</v>
      </c>
      <c r="N59">
        <v>1.4710399999999999</v>
      </c>
    </row>
    <row r="60" spans="1:14" x14ac:dyDescent="0.2">
      <c r="A60" t="s">
        <v>289</v>
      </c>
      <c r="B60" t="s">
        <v>260</v>
      </c>
      <c r="C60" t="s">
        <v>36</v>
      </c>
      <c r="D60" t="s">
        <v>277</v>
      </c>
      <c r="E60" t="s">
        <v>278</v>
      </c>
      <c r="F60" t="s">
        <v>279</v>
      </c>
      <c r="G60" t="s">
        <v>280</v>
      </c>
      <c r="H60" t="s">
        <v>41</v>
      </c>
      <c r="I60">
        <v>108</v>
      </c>
      <c r="J60">
        <v>3267</v>
      </c>
      <c r="K60">
        <v>149.5</v>
      </c>
      <c r="L60">
        <v>27.8</v>
      </c>
      <c r="M60">
        <v>36354.758000000002</v>
      </c>
      <c r="N60">
        <v>34.537019999999998</v>
      </c>
    </row>
    <row r="61" spans="1:14" x14ac:dyDescent="0.2">
      <c r="A61" t="s">
        <v>289</v>
      </c>
      <c r="B61" t="s">
        <v>260</v>
      </c>
      <c r="C61" t="s">
        <v>42</v>
      </c>
      <c r="D61" t="s">
        <v>281</v>
      </c>
      <c r="E61" t="s">
        <v>282</v>
      </c>
      <c r="F61" t="s">
        <v>283</v>
      </c>
      <c r="G61" t="s">
        <v>284</v>
      </c>
      <c r="H61" t="s">
        <v>41</v>
      </c>
      <c r="I61">
        <v>138</v>
      </c>
      <c r="J61">
        <v>4174.5</v>
      </c>
      <c r="K61">
        <v>209.9</v>
      </c>
      <c r="L61">
        <v>25.3</v>
      </c>
      <c r="M61">
        <v>42281.98</v>
      </c>
      <c r="N61">
        <v>40.167879999999997</v>
      </c>
    </row>
    <row r="62" spans="1:14" x14ac:dyDescent="0.2">
      <c r="A62" t="s">
        <v>289</v>
      </c>
      <c r="B62" t="s">
        <v>260</v>
      </c>
      <c r="C62" t="s">
        <v>48</v>
      </c>
      <c r="D62" t="s">
        <v>285</v>
      </c>
      <c r="E62" t="s">
        <v>286</v>
      </c>
      <c r="F62" t="s">
        <v>287</v>
      </c>
      <c r="G62" t="s">
        <v>288</v>
      </c>
      <c r="H62" t="s">
        <v>41</v>
      </c>
      <c r="I62">
        <v>115</v>
      </c>
      <c r="J62">
        <v>3478.8</v>
      </c>
      <c r="K62">
        <v>103</v>
      </c>
      <c r="L62">
        <v>43</v>
      </c>
      <c r="M62">
        <v>59833.972999999998</v>
      </c>
      <c r="N62">
        <v>56.842269999999999</v>
      </c>
    </row>
    <row r="63" spans="1:14" x14ac:dyDescent="0.2">
      <c r="A63" t="s">
        <v>352</v>
      </c>
      <c r="B63" t="s">
        <v>290</v>
      </c>
      <c r="C63" t="s">
        <v>12</v>
      </c>
      <c r="D63" t="s">
        <v>291</v>
      </c>
      <c r="E63" t="s">
        <v>292</v>
      </c>
      <c r="F63" t="s">
        <v>293</v>
      </c>
      <c r="G63" t="s">
        <v>294</v>
      </c>
      <c r="H63" t="s">
        <v>17</v>
      </c>
      <c r="I63">
        <v>164</v>
      </c>
      <c r="J63">
        <v>4961</v>
      </c>
      <c r="K63">
        <v>171.4</v>
      </c>
      <c r="L63">
        <v>36.9</v>
      </c>
      <c r="M63">
        <v>73137.562999999995</v>
      </c>
      <c r="N63">
        <v>100.92984</v>
      </c>
    </row>
    <row r="64" spans="1:14" x14ac:dyDescent="0.2">
      <c r="A64" t="s">
        <v>352</v>
      </c>
      <c r="B64" t="s">
        <v>290</v>
      </c>
      <c r="C64" t="s">
        <v>19</v>
      </c>
      <c r="D64" t="s">
        <v>295</v>
      </c>
      <c r="E64" t="s">
        <v>296</v>
      </c>
      <c r="F64" t="s">
        <v>297</v>
      </c>
      <c r="G64" t="s">
        <v>298</v>
      </c>
      <c r="H64" t="s">
        <v>17</v>
      </c>
      <c r="I64">
        <v>231</v>
      </c>
      <c r="J64">
        <v>6987.8</v>
      </c>
      <c r="K64">
        <v>227.5</v>
      </c>
      <c r="L64">
        <v>39.1</v>
      </c>
      <c r="M64">
        <v>109329.258</v>
      </c>
      <c r="N64">
        <v>150.87438</v>
      </c>
    </row>
    <row r="65" spans="1:14" x14ac:dyDescent="0.2">
      <c r="A65" t="s">
        <v>352</v>
      </c>
      <c r="B65" t="s">
        <v>290</v>
      </c>
      <c r="C65" t="s">
        <v>26</v>
      </c>
      <c r="D65" t="s">
        <v>299</v>
      </c>
      <c r="E65" t="s">
        <v>300</v>
      </c>
      <c r="F65" t="s">
        <v>301</v>
      </c>
      <c r="G65" t="s">
        <v>302</v>
      </c>
      <c r="H65" t="s">
        <v>17</v>
      </c>
      <c r="I65">
        <v>180</v>
      </c>
      <c r="J65">
        <v>5445</v>
      </c>
      <c r="K65">
        <v>145.5</v>
      </c>
      <c r="L65">
        <v>47.6</v>
      </c>
      <c r="M65">
        <v>103758.727</v>
      </c>
      <c r="N65">
        <v>143.18705</v>
      </c>
    </row>
    <row r="66" spans="1:14" x14ac:dyDescent="0.2">
      <c r="A66" t="s">
        <v>352</v>
      </c>
      <c r="B66" t="s">
        <v>290</v>
      </c>
      <c r="C66" t="s">
        <v>31</v>
      </c>
      <c r="D66" t="s">
        <v>303</v>
      </c>
      <c r="E66" t="s">
        <v>304</v>
      </c>
      <c r="F66" t="s">
        <v>305</v>
      </c>
      <c r="G66" t="s">
        <v>306</v>
      </c>
      <c r="H66" t="s">
        <v>17</v>
      </c>
      <c r="I66">
        <v>217</v>
      </c>
      <c r="J66">
        <v>6564.3</v>
      </c>
      <c r="K66">
        <v>336.4</v>
      </c>
      <c r="L66">
        <v>24.8</v>
      </c>
      <c r="M66">
        <v>65227.082000000002</v>
      </c>
      <c r="N66">
        <v>90.013379999999998</v>
      </c>
    </row>
    <row r="67" spans="1:14" x14ac:dyDescent="0.2">
      <c r="A67" t="s">
        <v>352</v>
      </c>
      <c r="B67" t="s">
        <v>290</v>
      </c>
      <c r="C67" t="s">
        <v>36</v>
      </c>
      <c r="D67" t="s">
        <v>307</v>
      </c>
      <c r="E67" t="s">
        <v>308</v>
      </c>
      <c r="F67" t="s">
        <v>309</v>
      </c>
      <c r="G67" t="s">
        <v>310</v>
      </c>
      <c r="H67" t="s">
        <v>24</v>
      </c>
      <c r="I67">
        <v>196</v>
      </c>
      <c r="J67">
        <v>5929</v>
      </c>
      <c r="K67">
        <v>139.69999999999999</v>
      </c>
      <c r="L67">
        <v>54</v>
      </c>
      <c r="M67">
        <v>128178.234</v>
      </c>
      <c r="N67">
        <v>121.76931999999999</v>
      </c>
    </row>
    <row r="68" spans="1:14" x14ac:dyDescent="0.2">
      <c r="A68" t="s">
        <v>352</v>
      </c>
      <c r="B68" t="s">
        <v>290</v>
      </c>
      <c r="C68" t="s">
        <v>42</v>
      </c>
      <c r="D68" t="s">
        <v>311</v>
      </c>
      <c r="E68" t="s">
        <v>312</v>
      </c>
      <c r="F68" t="s">
        <v>313</v>
      </c>
      <c r="G68" t="s">
        <v>314</v>
      </c>
      <c r="H68" t="s">
        <v>24</v>
      </c>
      <c r="I68">
        <v>385</v>
      </c>
      <c r="J68">
        <v>11646.3</v>
      </c>
      <c r="K68">
        <v>177</v>
      </c>
      <c r="L68">
        <v>83.8</v>
      </c>
      <c r="M68">
        <v>390289.78100000002</v>
      </c>
      <c r="N68">
        <v>370.77528000000001</v>
      </c>
    </row>
    <row r="69" spans="1:14" x14ac:dyDescent="0.2">
      <c r="A69" t="s">
        <v>352</v>
      </c>
      <c r="B69" t="s">
        <v>290</v>
      </c>
      <c r="C69" t="s">
        <v>48</v>
      </c>
      <c r="D69" t="s">
        <v>315</v>
      </c>
      <c r="E69" t="s">
        <v>316</v>
      </c>
      <c r="F69" t="s">
        <v>317</v>
      </c>
      <c r="G69" t="s">
        <v>318</v>
      </c>
      <c r="H69" t="s">
        <v>41</v>
      </c>
      <c r="I69">
        <v>88</v>
      </c>
      <c r="J69">
        <v>2662</v>
      </c>
      <c r="K69">
        <v>123</v>
      </c>
      <c r="L69">
        <v>27.6</v>
      </c>
      <c r="M69">
        <v>29339.445</v>
      </c>
      <c r="N69">
        <v>27.87247</v>
      </c>
    </row>
    <row r="70" spans="1:14" x14ac:dyDescent="0.2">
      <c r="A70" t="s">
        <v>352</v>
      </c>
      <c r="B70" t="s">
        <v>319</v>
      </c>
      <c r="C70" t="s">
        <v>12</v>
      </c>
      <c r="D70" t="s">
        <v>320</v>
      </c>
      <c r="E70" t="s">
        <v>321</v>
      </c>
      <c r="F70" t="s">
        <v>322</v>
      </c>
      <c r="G70" t="s">
        <v>323</v>
      </c>
      <c r="H70" t="s">
        <v>17</v>
      </c>
      <c r="I70">
        <v>9</v>
      </c>
      <c r="J70">
        <v>272.3</v>
      </c>
      <c r="K70">
        <v>25.3</v>
      </c>
      <c r="L70">
        <v>13.7</v>
      </c>
      <c r="M70">
        <v>1490.258</v>
      </c>
      <c r="N70">
        <v>2.0565600000000002</v>
      </c>
    </row>
    <row r="71" spans="1:14" x14ac:dyDescent="0.2">
      <c r="A71" t="s">
        <v>352</v>
      </c>
      <c r="B71" t="s">
        <v>319</v>
      </c>
      <c r="C71" t="s">
        <v>19</v>
      </c>
      <c r="D71" t="s">
        <v>324</v>
      </c>
      <c r="E71" t="s">
        <v>325</v>
      </c>
      <c r="F71" t="s">
        <v>326</v>
      </c>
      <c r="G71" t="s">
        <v>327</v>
      </c>
      <c r="H71" t="s">
        <v>17</v>
      </c>
      <c r="I71">
        <v>12</v>
      </c>
      <c r="J71">
        <v>363</v>
      </c>
      <c r="K71">
        <v>30.1</v>
      </c>
      <c r="L71">
        <v>15.4</v>
      </c>
      <c r="M71">
        <v>2229.7890000000002</v>
      </c>
      <c r="N71">
        <v>3.0771099999999998</v>
      </c>
    </row>
    <row r="72" spans="1:14" x14ac:dyDescent="0.2">
      <c r="A72" t="s">
        <v>352</v>
      </c>
      <c r="B72" t="s">
        <v>319</v>
      </c>
      <c r="C72" t="s">
        <v>26</v>
      </c>
      <c r="D72" t="s">
        <v>328</v>
      </c>
      <c r="E72" t="s">
        <v>329</v>
      </c>
      <c r="F72" t="s">
        <v>330</v>
      </c>
      <c r="G72" t="s">
        <v>331</v>
      </c>
      <c r="H72" t="s">
        <v>17</v>
      </c>
      <c r="I72">
        <v>60</v>
      </c>
      <c r="J72">
        <v>1815</v>
      </c>
      <c r="K72">
        <v>76</v>
      </c>
      <c r="L72">
        <v>30.4</v>
      </c>
      <c r="M72">
        <v>22065.285</v>
      </c>
      <c r="N72">
        <v>30.450089999999999</v>
      </c>
    </row>
    <row r="73" spans="1:14" x14ac:dyDescent="0.2">
      <c r="A73" t="s">
        <v>352</v>
      </c>
      <c r="B73" t="s">
        <v>319</v>
      </c>
      <c r="C73" t="s">
        <v>31</v>
      </c>
      <c r="D73" t="s">
        <v>332</v>
      </c>
      <c r="E73" t="s">
        <v>333</v>
      </c>
      <c r="F73" t="s">
        <v>334</v>
      </c>
      <c r="G73" t="s">
        <v>335</v>
      </c>
      <c r="H73" t="s">
        <v>17</v>
      </c>
      <c r="I73">
        <v>31</v>
      </c>
      <c r="J73">
        <v>937.8</v>
      </c>
      <c r="K73">
        <v>46.8</v>
      </c>
      <c r="L73">
        <v>25.5</v>
      </c>
      <c r="M73">
        <v>9567.92</v>
      </c>
      <c r="N73">
        <v>13.20373</v>
      </c>
    </row>
    <row r="74" spans="1:14" x14ac:dyDescent="0.2">
      <c r="A74" t="s">
        <v>352</v>
      </c>
      <c r="B74" t="s">
        <v>319</v>
      </c>
      <c r="C74" t="s">
        <v>36</v>
      </c>
      <c r="D74" t="s">
        <v>336</v>
      </c>
      <c r="E74" t="s">
        <v>337</v>
      </c>
      <c r="F74" t="s">
        <v>338</v>
      </c>
      <c r="G74" t="s">
        <v>339</v>
      </c>
      <c r="H74" t="s">
        <v>24</v>
      </c>
      <c r="I74">
        <v>9</v>
      </c>
      <c r="J74">
        <v>272.3</v>
      </c>
      <c r="K74">
        <v>25.3</v>
      </c>
      <c r="L74">
        <v>13.7</v>
      </c>
      <c r="M74">
        <v>1490.258</v>
      </c>
      <c r="N74">
        <v>1.4157500000000001</v>
      </c>
    </row>
    <row r="75" spans="1:14" x14ac:dyDescent="0.2">
      <c r="A75" t="s">
        <v>352</v>
      </c>
      <c r="B75" t="s">
        <v>319</v>
      </c>
      <c r="C75" t="s">
        <v>42</v>
      </c>
      <c r="D75" t="s">
        <v>340</v>
      </c>
      <c r="E75" t="s">
        <v>341</v>
      </c>
      <c r="F75" t="s">
        <v>342</v>
      </c>
      <c r="G75" t="s">
        <v>343</v>
      </c>
      <c r="H75" t="s">
        <v>24</v>
      </c>
      <c r="I75">
        <v>28</v>
      </c>
      <c r="J75">
        <v>847</v>
      </c>
      <c r="K75">
        <v>46.5</v>
      </c>
      <c r="L75">
        <v>23.2</v>
      </c>
      <c r="M75">
        <v>7863.6350000000002</v>
      </c>
      <c r="N75">
        <v>7.4704499999999996</v>
      </c>
    </row>
    <row r="76" spans="1:14" x14ac:dyDescent="0.2">
      <c r="A76" t="s">
        <v>352</v>
      </c>
      <c r="B76" t="s">
        <v>319</v>
      </c>
      <c r="C76" t="s">
        <v>48</v>
      </c>
      <c r="D76" t="s">
        <v>344</v>
      </c>
      <c r="E76" t="s">
        <v>345</v>
      </c>
      <c r="F76" t="s">
        <v>346</v>
      </c>
      <c r="G76" t="s">
        <v>347</v>
      </c>
      <c r="H76" t="s">
        <v>24</v>
      </c>
      <c r="I76">
        <v>65</v>
      </c>
      <c r="J76">
        <v>1966.3</v>
      </c>
      <c r="K76">
        <v>74.3</v>
      </c>
      <c r="L76">
        <v>33.700000000000003</v>
      </c>
      <c r="M76">
        <v>26500.544999999998</v>
      </c>
      <c r="N76">
        <v>25.175519999999999</v>
      </c>
    </row>
    <row r="77" spans="1:14" x14ac:dyDescent="0.2">
      <c r="A77" t="s">
        <v>352</v>
      </c>
      <c r="B77" t="s">
        <v>319</v>
      </c>
      <c r="C77" t="s">
        <v>84</v>
      </c>
      <c r="D77" t="s">
        <v>348</v>
      </c>
      <c r="E77" t="s">
        <v>349</v>
      </c>
      <c r="F77" t="s">
        <v>350</v>
      </c>
      <c r="G77" t="s">
        <v>351</v>
      </c>
      <c r="H77" t="s">
        <v>41</v>
      </c>
      <c r="I77">
        <v>118</v>
      </c>
      <c r="J77">
        <v>3569.5</v>
      </c>
      <c r="K77">
        <v>100</v>
      </c>
      <c r="L77">
        <v>45.4</v>
      </c>
      <c r="M77">
        <v>64882.968999999997</v>
      </c>
      <c r="N77">
        <v>61.638820000000003</v>
      </c>
    </row>
    <row r="78" spans="1:14" x14ac:dyDescent="0.2">
      <c r="A78" t="s">
        <v>387</v>
      </c>
      <c r="B78" t="s">
        <v>353</v>
      </c>
      <c r="C78" t="s">
        <v>12</v>
      </c>
      <c r="D78" t="s">
        <v>354</v>
      </c>
      <c r="E78" t="s">
        <v>355</v>
      </c>
      <c r="F78" t="s">
        <v>356</v>
      </c>
      <c r="G78" t="s">
        <v>357</v>
      </c>
      <c r="H78" t="s">
        <v>25</v>
      </c>
      <c r="I78">
        <v>9</v>
      </c>
      <c r="J78">
        <v>272.3</v>
      </c>
      <c r="K78">
        <v>33.5</v>
      </c>
      <c r="L78">
        <v>10.3</v>
      </c>
      <c r="M78">
        <v>1125.3389999999999</v>
      </c>
      <c r="N78">
        <v>1.2828900000000001</v>
      </c>
    </row>
    <row r="79" spans="1:14" x14ac:dyDescent="0.2">
      <c r="A79" t="s">
        <v>387</v>
      </c>
      <c r="B79" t="s">
        <v>353</v>
      </c>
      <c r="C79" t="s">
        <v>19</v>
      </c>
      <c r="D79" t="s">
        <v>358</v>
      </c>
      <c r="E79" t="s">
        <v>359</v>
      </c>
      <c r="F79" t="s">
        <v>360</v>
      </c>
      <c r="G79" t="s">
        <v>361</v>
      </c>
      <c r="H79" t="s">
        <v>24</v>
      </c>
      <c r="I79">
        <v>44</v>
      </c>
      <c r="J79">
        <v>1331</v>
      </c>
      <c r="K79">
        <v>61.3</v>
      </c>
      <c r="L79">
        <v>27.6</v>
      </c>
      <c r="M79">
        <v>14715.456</v>
      </c>
      <c r="N79">
        <v>13.97968</v>
      </c>
    </row>
    <row r="80" spans="1:14" x14ac:dyDescent="0.2">
      <c r="A80" t="s">
        <v>387</v>
      </c>
      <c r="B80" t="s">
        <v>362</v>
      </c>
      <c r="C80" t="s">
        <v>12</v>
      </c>
      <c r="D80" t="s">
        <v>363</v>
      </c>
      <c r="E80" t="s">
        <v>364</v>
      </c>
      <c r="F80" t="s">
        <v>365</v>
      </c>
      <c r="G80" t="s">
        <v>366</v>
      </c>
      <c r="H80" t="s">
        <v>17</v>
      </c>
      <c r="I80">
        <v>61</v>
      </c>
      <c r="J80">
        <v>1845.3</v>
      </c>
      <c r="K80">
        <v>72.3</v>
      </c>
      <c r="L80">
        <v>32.5</v>
      </c>
      <c r="M80">
        <v>23986.335999999999</v>
      </c>
      <c r="N80">
        <v>33.101140000000001</v>
      </c>
    </row>
    <row r="81" spans="1:14" x14ac:dyDescent="0.2">
      <c r="A81" t="s">
        <v>387</v>
      </c>
      <c r="B81" t="s">
        <v>362</v>
      </c>
      <c r="C81" t="s">
        <v>19</v>
      </c>
      <c r="D81" t="s">
        <v>367</v>
      </c>
      <c r="E81" t="s">
        <v>368</v>
      </c>
      <c r="F81" t="s">
        <v>369</v>
      </c>
      <c r="G81" t="s">
        <v>370</v>
      </c>
      <c r="H81" t="s">
        <v>24</v>
      </c>
      <c r="I81">
        <v>29</v>
      </c>
      <c r="J81">
        <v>877.3</v>
      </c>
      <c r="K81">
        <v>67.599999999999994</v>
      </c>
      <c r="L81">
        <v>16.5</v>
      </c>
      <c r="M81">
        <v>5797.8280000000004</v>
      </c>
      <c r="N81">
        <v>5.5079399999999996</v>
      </c>
    </row>
    <row r="82" spans="1:14" x14ac:dyDescent="0.2">
      <c r="A82" t="s">
        <v>387</v>
      </c>
      <c r="B82" t="s">
        <v>362</v>
      </c>
      <c r="C82" t="s">
        <v>26</v>
      </c>
      <c r="D82" t="s">
        <v>371</v>
      </c>
      <c r="E82" t="s">
        <v>372</v>
      </c>
      <c r="F82" t="s">
        <v>373</v>
      </c>
      <c r="G82" t="s">
        <v>374</v>
      </c>
      <c r="H82" t="s">
        <v>24</v>
      </c>
      <c r="I82">
        <v>21</v>
      </c>
      <c r="J82">
        <v>635.29999999999995</v>
      </c>
      <c r="K82">
        <v>42.4</v>
      </c>
      <c r="L82">
        <v>19.100000000000001</v>
      </c>
      <c r="M82">
        <v>4847.7879999999996</v>
      </c>
      <c r="N82">
        <v>4.6054000000000004</v>
      </c>
    </row>
    <row r="83" spans="1:14" x14ac:dyDescent="0.2">
      <c r="A83" t="s">
        <v>387</v>
      </c>
      <c r="B83" t="s">
        <v>362</v>
      </c>
      <c r="C83" t="s">
        <v>31</v>
      </c>
      <c r="D83" t="s">
        <v>375</v>
      </c>
      <c r="E83" t="s">
        <v>376</v>
      </c>
      <c r="F83" t="s">
        <v>377</v>
      </c>
      <c r="G83" t="s">
        <v>378</v>
      </c>
      <c r="H83" t="s">
        <v>41</v>
      </c>
      <c r="I83">
        <v>192</v>
      </c>
      <c r="J83">
        <v>5808</v>
      </c>
      <c r="K83">
        <v>130</v>
      </c>
      <c r="L83">
        <v>56.9</v>
      </c>
      <c r="M83">
        <v>132123.20300000001</v>
      </c>
      <c r="N83">
        <v>125.51703999999999</v>
      </c>
    </row>
    <row r="84" spans="1:14" x14ac:dyDescent="0.2">
      <c r="A84" t="s">
        <v>387</v>
      </c>
      <c r="B84" t="s">
        <v>362</v>
      </c>
      <c r="C84" t="s">
        <v>36</v>
      </c>
      <c r="D84" t="s">
        <v>379</v>
      </c>
      <c r="E84" t="s">
        <v>380</v>
      </c>
      <c r="F84" t="s">
        <v>381</v>
      </c>
      <c r="G84" t="s">
        <v>382</v>
      </c>
      <c r="H84" t="s">
        <v>41</v>
      </c>
      <c r="I84">
        <v>148</v>
      </c>
      <c r="J84">
        <v>4477</v>
      </c>
      <c r="K84">
        <v>165.2</v>
      </c>
      <c r="L84">
        <v>34.5</v>
      </c>
      <c r="M84">
        <v>61808.038999999997</v>
      </c>
      <c r="N84">
        <v>58.717640000000003</v>
      </c>
    </row>
    <row r="85" spans="1:14" x14ac:dyDescent="0.2">
      <c r="A85" t="s">
        <v>387</v>
      </c>
      <c r="B85" t="s">
        <v>362</v>
      </c>
      <c r="C85" t="s">
        <v>42</v>
      </c>
      <c r="D85" t="s">
        <v>383</v>
      </c>
      <c r="E85" t="s">
        <v>384</v>
      </c>
      <c r="F85" t="s">
        <v>385</v>
      </c>
      <c r="G85" t="s">
        <v>386</v>
      </c>
      <c r="H85" t="s">
        <v>41</v>
      </c>
      <c r="I85">
        <v>33</v>
      </c>
      <c r="J85">
        <v>998.3</v>
      </c>
      <c r="K85">
        <v>63.5</v>
      </c>
      <c r="L85">
        <v>20</v>
      </c>
      <c r="M85">
        <v>7990.8630000000003</v>
      </c>
      <c r="N85">
        <v>7.5913199999999996</v>
      </c>
    </row>
    <row r="86" spans="1:14" x14ac:dyDescent="0.2">
      <c r="A86" t="s">
        <v>612</v>
      </c>
      <c r="B86" t="s">
        <v>388</v>
      </c>
      <c r="C86" t="s">
        <v>12</v>
      </c>
      <c r="D86" t="s">
        <v>389</v>
      </c>
      <c r="E86" t="s">
        <v>390</v>
      </c>
      <c r="F86" t="s">
        <v>391</v>
      </c>
      <c r="G86" t="s">
        <v>392</v>
      </c>
      <c r="H86" t="s">
        <v>17</v>
      </c>
      <c r="I86">
        <v>52</v>
      </c>
      <c r="J86">
        <v>1573</v>
      </c>
      <c r="K86">
        <v>74.3</v>
      </c>
      <c r="L86">
        <v>27</v>
      </c>
      <c r="M86">
        <v>16963.883000000002</v>
      </c>
      <c r="N86">
        <v>23.410160000000001</v>
      </c>
    </row>
    <row r="87" spans="1:14" x14ac:dyDescent="0.2">
      <c r="A87" t="s">
        <v>612</v>
      </c>
      <c r="B87" t="s">
        <v>388</v>
      </c>
      <c r="C87" t="s">
        <v>19</v>
      </c>
      <c r="D87" t="s">
        <v>393</v>
      </c>
      <c r="E87" t="s">
        <v>394</v>
      </c>
      <c r="F87" t="s">
        <v>395</v>
      </c>
      <c r="G87" t="s">
        <v>396</v>
      </c>
      <c r="H87" t="s">
        <v>17</v>
      </c>
      <c r="I87">
        <v>317</v>
      </c>
      <c r="J87">
        <v>9589.2999999999993</v>
      </c>
      <c r="K87">
        <v>362</v>
      </c>
      <c r="L87">
        <v>33.700000000000003</v>
      </c>
      <c r="M87">
        <v>129380.914</v>
      </c>
      <c r="N87">
        <v>178.54566</v>
      </c>
    </row>
    <row r="88" spans="1:14" x14ac:dyDescent="0.2">
      <c r="A88" t="s">
        <v>612</v>
      </c>
      <c r="B88" t="s">
        <v>388</v>
      </c>
      <c r="C88" t="s">
        <v>26</v>
      </c>
      <c r="D88" t="s">
        <v>397</v>
      </c>
      <c r="E88" t="s">
        <v>398</v>
      </c>
      <c r="F88" t="s">
        <v>399</v>
      </c>
      <c r="G88" t="s">
        <v>400</v>
      </c>
      <c r="H88" t="s">
        <v>17</v>
      </c>
      <c r="I88">
        <v>74</v>
      </c>
      <c r="J88">
        <v>2238.5</v>
      </c>
      <c r="K88">
        <v>118.5</v>
      </c>
      <c r="L88">
        <v>24</v>
      </c>
      <c r="M88">
        <v>21531.629000000001</v>
      </c>
      <c r="N88">
        <v>29.713650000000001</v>
      </c>
    </row>
    <row r="89" spans="1:14" x14ac:dyDescent="0.2">
      <c r="A89" t="s">
        <v>612</v>
      </c>
      <c r="B89" t="s">
        <v>388</v>
      </c>
      <c r="C89" t="s">
        <v>31</v>
      </c>
      <c r="D89" t="s">
        <v>401</v>
      </c>
      <c r="E89" t="s">
        <v>402</v>
      </c>
      <c r="F89" t="s">
        <v>273</v>
      </c>
      <c r="G89" t="s">
        <v>403</v>
      </c>
      <c r="H89" t="s">
        <v>17</v>
      </c>
      <c r="I89">
        <v>114</v>
      </c>
      <c r="J89">
        <v>3448.5</v>
      </c>
      <c r="K89">
        <v>198.7</v>
      </c>
      <c r="L89">
        <v>22.1</v>
      </c>
      <c r="M89">
        <v>30481.686000000002</v>
      </c>
      <c r="N89">
        <v>42.064729999999997</v>
      </c>
    </row>
    <row r="90" spans="1:14" x14ac:dyDescent="0.2">
      <c r="A90" t="s">
        <v>612</v>
      </c>
      <c r="B90" t="s">
        <v>388</v>
      </c>
      <c r="C90" t="s">
        <v>36</v>
      </c>
      <c r="D90" t="s">
        <v>404</v>
      </c>
      <c r="E90" t="s">
        <v>405</v>
      </c>
      <c r="F90" t="s">
        <v>406</v>
      </c>
      <c r="G90" t="s">
        <v>407</v>
      </c>
      <c r="H90" t="s">
        <v>17</v>
      </c>
      <c r="I90">
        <v>89</v>
      </c>
      <c r="J90">
        <v>2692.3</v>
      </c>
      <c r="K90">
        <v>76.599999999999994</v>
      </c>
      <c r="L90">
        <v>44.8</v>
      </c>
      <c r="M90">
        <v>48208.809000000001</v>
      </c>
      <c r="N90">
        <v>66.52816</v>
      </c>
    </row>
    <row r="91" spans="1:14" x14ac:dyDescent="0.2">
      <c r="A91" t="s">
        <v>612</v>
      </c>
      <c r="B91" t="s">
        <v>388</v>
      </c>
      <c r="C91" t="s">
        <v>42</v>
      </c>
      <c r="D91" t="s">
        <v>408</v>
      </c>
      <c r="E91" t="s">
        <v>409</v>
      </c>
      <c r="F91" t="s">
        <v>410</v>
      </c>
      <c r="G91" t="s">
        <v>411</v>
      </c>
      <c r="H91" t="s">
        <v>17</v>
      </c>
      <c r="I91">
        <v>292</v>
      </c>
      <c r="J91">
        <v>8833</v>
      </c>
      <c r="K91">
        <v>176.1</v>
      </c>
      <c r="L91">
        <v>63.9</v>
      </c>
      <c r="M91">
        <v>225603.57800000001</v>
      </c>
      <c r="N91">
        <v>311.33294000000001</v>
      </c>
    </row>
    <row r="92" spans="1:14" x14ac:dyDescent="0.2">
      <c r="A92" t="s">
        <v>612</v>
      </c>
      <c r="B92" t="s">
        <v>388</v>
      </c>
      <c r="C92" t="s">
        <v>48</v>
      </c>
      <c r="D92" t="s">
        <v>412</v>
      </c>
      <c r="E92" t="s">
        <v>413</v>
      </c>
      <c r="F92" t="s">
        <v>414</v>
      </c>
      <c r="G92" t="s">
        <v>415</v>
      </c>
      <c r="H92" t="s">
        <v>17</v>
      </c>
      <c r="I92">
        <v>84</v>
      </c>
      <c r="J92">
        <v>2541</v>
      </c>
      <c r="K92">
        <v>186.5</v>
      </c>
      <c r="L92">
        <v>17.399999999999999</v>
      </c>
      <c r="M92">
        <v>17636.311000000002</v>
      </c>
      <c r="N92">
        <v>24.33811</v>
      </c>
    </row>
    <row r="93" spans="1:14" x14ac:dyDescent="0.2">
      <c r="A93" t="s">
        <v>612</v>
      </c>
      <c r="B93" t="s">
        <v>388</v>
      </c>
      <c r="C93" t="s">
        <v>84</v>
      </c>
      <c r="D93" t="s">
        <v>416</v>
      </c>
      <c r="E93" t="s">
        <v>417</v>
      </c>
      <c r="F93" t="s">
        <v>418</v>
      </c>
      <c r="G93" t="s">
        <v>419</v>
      </c>
      <c r="H93" t="s">
        <v>17</v>
      </c>
      <c r="I93">
        <v>62</v>
      </c>
      <c r="J93">
        <v>1875.5</v>
      </c>
      <c r="K93">
        <v>143.6</v>
      </c>
      <c r="L93">
        <v>16.600000000000001</v>
      </c>
      <c r="M93">
        <v>12476.102000000001</v>
      </c>
      <c r="N93">
        <v>17.217020000000002</v>
      </c>
    </row>
    <row r="94" spans="1:14" x14ac:dyDescent="0.2">
      <c r="A94" t="s">
        <v>612</v>
      </c>
      <c r="B94" t="s">
        <v>388</v>
      </c>
      <c r="C94" t="s">
        <v>89</v>
      </c>
      <c r="D94" t="s">
        <v>180</v>
      </c>
      <c r="E94" t="s">
        <v>420</v>
      </c>
      <c r="F94" t="s">
        <v>182</v>
      </c>
      <c r="G94" t="s">
        <v>421</v>
      </c>
      <c r="H94" t="s">
        <v>17</v>
      </c>
      <c r="I94">
        <v>106</v>
      </c>
      <c r="J94">
        <v>3206.5</v>
      </c>
      <c r="K94">
        <v>95.3</v>
      </c>
      <c r="L94">
        <v>42.8</v>
      </c>
      <c r="M94">
        <v>54940.707000000002</v>
      </c>
      <c r="N94">
        <v>75.818169999999995</v>
      </c>
    </row>
    <row r="95" spans="1:14" x14ac:dyDescent="0.2">
      <c r="A95" t="s">
        <v>612</v>
      </c>
      <c r="B95" t="s">
        <v>388</v>
      </c>
      <c r="C95" t="s">
        <v>94</v>
      </c>
      <c r="D95" t="s">
        <v>422</v>
      </c>
      <c r="E95" t="s">
        <v>423</v>
      </c>
      <c r="F95" t="s">
        <v>424</v>
      </c>
      <c r="G95" t="s">
        <v>425</v>
      </c>
      <c r="H95" t="s">
        <v>17</v>
      </c>
      <c r="I95">
        <v>23</v>
      </c>
      <c r="J95">
        <v>695.8</v>
      </c>
      <c r="K95">
        <v>48.5</v>
      </c>
      <c r="L95">
        <v>18.3</v>
      </c>
      <c r="M95">
        <v>5087.7489999999998</v>
      </c>
      <c r="N95">
        <v>7.0210900000000001</v>
      </c>
    </row>
    <row r="96" spans="1:14" x14ac:dyDescent="0.2">
      <c r="A96" t="s">
        <v>612</v>
      </c>
      <c r="B96" t="s">
        <v>388</v>
      </c>
      <c r="C96" t="s">
        <v>99</v>
      </c>
      <c r="D96" t="s">
        <v>426</v>
      </c>
      <c r="E96" t="s">
        <v>427</v>
      </c>
      <c r="F96" t="s">
        <v>428</v>
      </c>
      <c r="G96" t="s">
        <v>429</v>
      </c>
      <c r="H96" t="s">
        <v>17</v>
      </c>
      <c r="I96">
        <v>45</v>
      </c>
      <c r="J96">
        <v>1361.3</v>
      </c>
      <c r="K96">
        <v>64</v>
      </c>
      <c r="L96">
        <v>27.1</v>
      </c>
      <c r="M96">
        <v>14753.602000000001</v>
      </c>
      <c r="N96">
        <v>20.359970000000001</v>
      </c>
    </row>
    <row r="97" spans="1:14" x14ac:dyDescent="0.2">
      <c r="A97" t="s">
        <v>612</v>
      </c>
      <c r="B97" t="s">
        <v>388</v>
      </c>
      <c r="C97" t="s">
        <v>104</v>
      </c>
      <c r="D97" t="s">
        <v>430</v>
      </c>
      <c r="E97" t="s">
        <v>431</v>
      </c>
      <c r="F97" t="s">
        <v>432</v>
      </c>
      <c r="G97" t="s">
        <v>433</v>
      </c>
      <c r="H97" t="s">
        <v>17</v>
      </c>
      <c r="I97">
        <v>98</v>
      </c>
      <c r="J97">
        <v>2964.5</v>
      </c>
      <c r="K97">
        <v>163.5</v>
      </c>
      <c r="L97">
        <v>23.1</v>
      </c>
      <c r="M97">
        <v>27379.418000000001</v>
      </c>
      <c r="N97">
        <v>37.7836</v>
      </c>
    </row>
    <row r="98" spans="1:14" x14ac:dyDescent="0.2">
      <c r="A98" t="s">
        <v>612</v>
      </c>
      <c r="B98" t="s">
        <v>388</v>
      </c>
      <c r="C98" t="s">
        <v>109</v>
      </c>
      <c r="D98" t="s">
        <v>434</v>
      </c>
      <c r="E98" t="s">
        <v>435</v>
      </c>
      <c r="F98" t="s">
        <v>436</v>
      </c>
      <c r="G98" t="s">
        <v>437</v>
      </c>
      <c r="H98" t="s">
        <v>17</v>
      </c>
      <c r="I98">
        <v>36</v>
      </c>
      <c r="J98">
        <v>1089</v>
      </c>
      <c r="K98">
        <v>94.6</v>
      </c>
      <c r="L98">
        <v>14.7</v>
      </c>
      <c r="M98">
        <v>6383.9970000000003</v>
      </c>
      <c r="N98">
        <v>8.80992</v>
      </c>
    </row>
    <row r="99" spans="1:14" x14ac:dyDescent="0.2">
      <c r="A99" t="s">
        <v>612</v>
      </c>
      <c r="B99" t="s">
        <v>388</v>
      </c>
      <c r="C99" t="s">
        <v>114</v>
      </c>
      <c r="D99" t="s">
        <v>438</v>
      </c>
      <c r="E99" t="s">
        <v>439</v>
      </c>
      <c r="F99" t="s">
        <v>440</v>
      </c>
      <c r="G99" t="s">
        <v>441</v>
      </c>
      <c r="H99" t="s">
        <v>17</v>
      </c>
      <c r="I99">
        <v>196</v>
      </c>
      <c r="J99">
        <v>5929</v>
      </c>
      <c r="K99">
        <v>149.6</v>
      </c>
      <c r="L99">
        <v>50.5</v>
      </c>
      <c r="M99">
        <v>119713.609</v>
      </c>
      <c r="N99">
        <v>165.20478</v>
      </c>
    </row>
    <row r="100" spans="1:14" x14ac:dyDescent="0.2">
      <c r="A100" t="s">
        <v>612</v>
      </c>
      <c r="B100" t="s">
        <v>388</v>
      </c>
      <c r="C100" t="s">
        <v>119</v>
      </c>
      <c r="D100" t="s">
        <v>442</v>
      </c>
      <c r="E100" t="s">
        <v>443</v>
      </c>
      <c r="F100" t="s">
        <v>444</v>
      </c>
      <c r="G100" t="s">
        <v>445</v>
      </c>
      <c r="H100" t="s">
        <v>17</v>
      </c>
      <c r="I100">
        <v>506</v>
      </c>
      <c r="J100">
        <v>15306.5</v>
      </c>
      <c r="K100">
        <v>352.6</v>
      </c>
      <c r="L100">
        <v>55.3</v>
      </c>
      <c r="M100">
        <v>338403.93800000002</v>
      </c>
      <c r="N100">
        <v>466.99743999999998</v>
      </c>
    </row>
    <row r="101" spans="1:14" x14ac:dyDescent="0.2">
      <c r="A101" t="s">
        <v>612</v>
      </c>
      <c r="B101" t="s">
        <v>388</v>
      </c>
      <c r="C101" t="s">
        <v>124</v>
      </c>
      <c r="D101" t="s">
        <v>446</v>
      </c>
      <c r="E101" t="s">
        <v>447</v>
      </c>
      <c r="F101" t="s">
        <v>448</v>
      </c>
      <c r="G101" t="s">
        <v>449</v>
      </c>
      <c r="H101" t="s">
        <v>17</v>
      </c>
      <c r="I101">
        <v>11</v>
      </c>
      <c r="J101">
        <v>332.8</v>
      </c>
      <c r="K101">
        <v>25.3</v>
      </c>
      <c r="L101">
        <v>16.7</v>
      </c>
      <c r="M101">
        <v>2226.1880000000001</v>
      </c>
      <c r="N101">
        <v>3.0721400000000001</v>
      </c>
    </row>
    <row r="102" spans="1:14" x14ac:dyDescent="0.2">
      <c r="A102" t="s">
        <v>612</v>
      </c>
      <c r="B102" t="s">
        <v>388</v>
      </c>
      <c r="C102" t="s">
        <v>129</v>
      </c>
      <c r="D102" t="s">
        <v>450</v>
      </c>
      <c r="E102" t="s">
        <v>451</v>
      </c>
      <c r="F102" t="s">
        <v>452</v>
      </c>
      <c r="G102" t="s">
        <v>453</v>
      </c>
      <c r="H102" t="s">
        <v>17</v>
      </c>
      <c r="I102">
        <v>27</v>
      </c>
      <c r="J102">
        <v>816.8</v>
      </c>
      <c r="K102">
        <v>40.5</v>
      </c>
      <c r="L102">
        <v>25.7</v>
      </c>
      <c r="M102">
        <v>8388.4439999999995</v>
      </c>
      <c r="N102">
        <v>11.57605</v>
      </c>
    </row>
    <row r="103" spans="1:14" x14ac:dyDescent="0.2">
      <c r="A103" t="s">
        <v>612</v>
      </c>
      <c r="B103" t="s">
        <v>388</v>
      </c>
      <c r="C103" t="s">
        <v>134</v>
      </c>
      <c r="D103" t="s">
        <v>454</v>
      </c>
      <c r="E103" t="s">
        <v>455</v>
      </c>
      <c r="F103" t="s">
        <v>456</v>
      </c>
      <c r="G103" t="s">
        <v>457</v>
      </c>
      <c r="H103" t="s">
        <v>24</v>
      </c>
      <c r="I103">
        <v>24</v>
      </c>
      <c r="J103">
        <v>726</v>
      </c>
      <c r="K103">
        <v>40.299999999999997</v>
      </c>
      <c r="L103">
        <v>22.9</v>
      </c>
      <c r="M103">
        <v>6663.4539999999997</v>
      </c>
      <c r="N103">
        <v>6.3302800000000001</v>
      </c>
    </row>
    <row r="104" spans="1:14" x14ac:dyDescent="0.2">
      <c r="A104" t="s">
        <v>612</v>
      </c>
      <c r="B104" t="s">
        <v>388</v>
      </c>
      <c r="C104" t="s">
        <v>139</v>
      </c>
      <c r="D104" t="s">
        <v>458</v>
      </c>
      <c r="E104" t="s">
        <v>459</v>
      </c>
      <c r="F104" t="s">
        <v>460</v>
      </c>
      <c r="G104" t="s">
        <v>461</v>
      </c>
      <c r="H104" t="s">
        <v>24</v>
      </c>
      <c r="I104">
        <v>10</v>
      </c>
      <c r="J104">
        <v>302.5</v>
      </c>
      <c r="K104">
        <v>25.3</v>
      </c>
      <c r="L104">
        <v>15.2</v>
      </c>
      <c r="M104">
        <v>1839.825</v>
      </c>
      <c r="N104">
        <v>1.74783</v>
      </c>
    </row>
    <row r="105" spans="1:14" x14ac:dyDescent="0.2">
      <c r="A105" t="s">
        <v>612</v>
      </c>
      <c r="B105" t="s">
        <v>388</v>
      </c>
      <c r="C105" t="s">
        <v>144</v>
      </c>
      <c r="D105" t="s">
        <v>462</v>
      </c>
      <c r="E105" t="s">
        <v>463</v>
      </c>
      <c r="F105" t="s">
        <v>464</v>
      </c>
      <c r="G105" t="s">
        <v>465</v>
      </c>
      <c r="H105" t="s">
        <v>24</v>
      </c>
      <c r="I105">
        <v>68</v>
      </c>
      <c r="J105">
        <v>2057</v>
      </c>
      <c r="K105">
        <v>67.599999999999994</v>
      </c>
      <c r="L105">
        <v>38.700000000000003</v>
      </c>
      <c r="M105">
        <v>31877.710999999999</v>
      </c>
      <c r="N105">
        <v>30.283819999999999</v>
      </c>
    </row>
    <row r="106" spans="1:14" x14ac:dyDescent="0.2">
      <c r="A106" t="s">
        <v>612</v>
      </c>
      <c r="B106" t="s">
        <v>388</v>
      </c>
      <c r="C106" t="s">
        <v>149</v>
      </c>
      <c r="D106" t="s">
        <v>466</v>
      </c>
      <c r="E106" t="s">
        <v>467</v>
      </c>
      <c r="F106" t="s">
        <v>468</v>
      </c>
      <c r="G106" t="s">
        <v>469</v>
      </c>
      <c r="H106" t="s">
        <v>24</v>
      </c>
      <c r="I106">
        <v>35</v>
      </c>
      <c r="J106">
        <v>1058.8</v>
      </c>
      <c r="K106">
        <v>46.5</v>
      </c>
      <c r="L106">
        <v>29</v>
      </c>
      <c r="M106">
        <v>12286.931</v>
      </c>
      <c r="N106">
        <v>11.67258</v>
      </c>
    </row>
    <row r="107" spans="1:14" x14ac:dyDescent="0.2">
      <c r="A107" t="s">
        <v>612</v>
      </c>
      <c r="B107" t="s">
        <v>388</v>
      </c>
      <c r="C107" t="s">
        <v>154</v>
      </c>
      <c r="D107" t="s">
        <v>470</v>
      </c>
      <c r="E107" t="s">
        <v>471</v>
      </c>
      <c r="F107" t="s">
        <v>472</v>
      </c>
      <c r="G107" t="s">
        <v>473</v>
      </c>
      <c r="H107" t="s">
        <v>24</v>
      </c>
      <c r="I107">
        <v>20</v>
      </c>
      <c r="J107">
        <v>605</v>
      </c>
      <c r="K107">
        <v>35.1</v>
      </c>
      <c r="L107">
        <v>21.9</v>
      </c>
      <c r="M107">
        <v>5308.1859999999997</v>
      </c>
      <c r="N107">
        <v>5.0427799999999996</v>
      </c>
    </row>
    <row r="108" spans="1:14" x14ac:dyDescent="0.2">
      <c r="A108" t="s">
        <v>612</v>
      </c>
      <c r="B108" t="s">
        <v>388</v>
      </c>
      <c r="C108" t="s">
        <v>159</v>
      </c>
      <c r="D108" t="s">
        <v>474</v>
      </c>
      <c r="E108" t="s">
        <v>475</v>
      </c>
      <c r="F108" t="s">
        <v>476</v>
      </c>
      <c r="G108" t="s">
        <v>477</v>
      </c>
      <c r="H108" t="s">
        <v>24</v>
      </c>
      <c r="I108">
        <v>189</v>
      </c>
      <c r="J108">
        <v>5717.3</v>
      </c>
      <c r="K108">
        <v>160.6</v>
      </c>
      <c r="L108">
        <v>45.3</v>
      </c>
      <c r="M108">
        <v>103651.406</v>
      </c>
      <c r="N108">
        <v>98.46884</v>
      </c>
    </row>
    <row r="109" spans="1:14" x14ac:dyDescent="0.2">
      <c r="A109" t="s">
        <v>612</v>
      </c>
      <c r="B109" t="s">
        <v>388</v>
      </c>
      <c r="C109" t="s">
        <v>478</v>
      </c>
      <c r="D109" t="s">
        <v>479</v>
      </c>
      <c r="E109" t="s">
        <v>480</v>
      </c>
      <c r="F109" t="s">
        <v>481</v>
      </c>
      <c r="G109" t="s">
        <v>482</v>
      </c>
      <c r="H109" t="s">
        <v>24</v>
      </c>
      <c r="I109">
        <v>171</v>
      </c>
      <c r="J109">
        <v>5172.8</v>
      </c>
      <c r="K109">
        <v>122.7</v>
      </c>
      <c r="L109">
        <v>53.7</v>
      </c>
      <c r="M109">
        <v>111075.008</v>
      </c>
      <c r="N109">
        <v>105.52126</v>
      </c>
    </row>
    <row r="110" spans="1:14" x14ac:dyDescent="0.2">
      <c r="A110" t="s">
        <v>612</v>
      </c>
      <c r="B110" t="s">
        <v>388</v>
      </c>
      <c r="C110" t="s">
        <v>483</v>
      </c>
      <c r="D110" t="s">
        <v>484</v>
      </c>
      <c r="E110" t="s">
        <v>485</v>
      </c>
      <c r="F110" t="s">
        <v>486</v>
      </c>
      <c r="G110" t="s">
        <v>487</v>
      </c>
      <c r="H110" t="s">
        <v>24</v>
      </c>
      <c r="I110">
        <v>43</v>
      </c>
      <c r="J110">
        <v>1300.8</v>
      </c>
      <c r="K110">
        <v>55.8</v>
      </c>
      <c r="L110">
        <v>29.7</v>
      </c>
      <c r="M110">
        <v>15454.884</v>
      </c>
      <c r="N110">
        <v>14.68214</v>
      </c>
    </row>
    <row r="111" spans="1:14" x14ac:dyDescent="0.2">
      <c r="A111" t="s">
        <v>612</v>
      </c>
      <c r="B111" t="s">
        <v>388</v>
      </c>
      <c r="C111" t="s">
        <v>488</v>
      </c>
      <c r="D111" t="s">
        <v>489</v>
      </c>
      <c r="E111" t="s">
        <v>490</v>
      </c>
      <c r="F111" t="s">
        <v>491</v>
      </c>
      <c r="G111" t="s">
        <v>492</v>
      </c>
      <c r="H111" t="s">
        <v>24</v>
      </c>
      <c r="I111">
        <v>46</v>
      </c>
      <c r="J111">
        <v>1391.5</v>
      </c>
      <c r="K111">
        <v>75.8</v>
      </c>
      <c r="L111">
        <v>23.4</v>
      </c>
      <c r="M111">
        <v>13007.468999999999</v>
      </c>
      <c r="N111">
        <v>12.357089999999999</v>
      </c>
    </row>
    <row r="112" spans="1:14" x14ac:dyDescent="0.2">
      <c r="A112" t="s">
        <v>612</v>
      </c>
      <c r="B112" t="s">
        <v>388</v>
      </c>
      <c r="C112" t="s">
        <v>493</v>
      </c>
      <c r="D112" t="s">
        <v>494</v>
      </c>
      <c r="E112" t="s">
        <v>495</v>
      </c>
      <c r="F112" t="s">
        <v>496</v>
      </c>
      <c r="G112" t="s">
        <v>497</v>
      </c>
      <c r="H112" t="s">
        <v>24</v>
      </c>
      <c r="I112">
        <v>28</v>
      </c>
      <c r="J112">
        <v>847</v>
      </c>
      <c r="K112">
        <v>39</v>
      </c>
      <c r="L112">
        <v>27.7</v>
      </c>
      <c r="M112">
        <v>9379.3240000000005</v>
      </c>
      <c r="N112">
        <v>8.9103600000000007</v>
      </c>
    </row>
    <row r="113" spans="1:14" x14ac:dyDescent="0.2">
      <c r="A113" t="s">
        <v>612</v>
      </c>
      <c r="B113" t="s">
        <v>388</v>
      </c>
      <c r="C113" t="s">
        <v>498</v>
      </c>
      <c r="D113" t="s">
        <v>499</v>
      </c>
      <c r="E113" t="s">
        <v>423</v>
      </c>
      <c r="F113" t="s">
        <v>500</v>
      </c>
      <c r="G113" t="s">
        <v>425</v>
      </c>
      <c r="H113" t="s">
        <v>18</v>
      </c>
      <c r="I113">
        <v>348</v>
      </c>
      <c r="J113">
        <v>10527</v>
      </c>
      <c r="K113">
        <v>166.6</v>
      </c>
      <c r="L113">
        <v>80.5</v>
      </c>
      <c r="M113">
        <v>338858.68800000002</v>
      </c>
      <c r="N113">
        <v>362.57880999999998</v>
      </c>
    </row>
    <row r="114" spans="1:14" x14ac:dyDescent="0.2">
      <c r="A114" t="s">
        <v>612</v>
      </c>
      <c r="B114" t="s">
        <v>388</v>
      </c>
      <c r="C114" t="s">
        <v>501</v>
      </c>
      <c r="D114" t="s">
        <v>502</v>
      </c>
      <c r="E114" t="s">
        <v>503</v>
      </c>
      <c r="F114" t="s">
        <v>504</v>
      </c>
      <c r="G114" t="s">
        <v>505</v>
      </c>
      <c r="H114" t="s">
        <v>41</v>
      </c>
      <c r="I114">
        <v>22</v>
      </c>
      <c r="J114">
        <v>665.5</v>
      </c>
      <c r="K114">
        <v>37.6</v>
      </c>
      <c r="L114">
        <v>22.6</v>
      </c>
      <c r="M114">
        <v>6003.7460000000001</v>
      </c>
      <c r="N114">
        <v>5.7035600000000004</v>
      </c>
    </row>
    <row r="115" spans="1:14" x14ac:dyDescent="0.2">
      <c r="A115" t="s">
        <v>612</v>
      </c>
      <c r="B115" t="s">
        <v>388</v>
      </c>
      <c r="C115" t="s">
        <v>506</v>
      </c>
      <c r="D115" t="s">
        <v>507</v>
      </c>
      <c r="E115" t="s">
        <v>508</v>
      </c>
      <c r="F115" t="s">
        <v>509</v>
      </c>
      <c r="G115" t="s">
        <v>510</v>
      </c>
      <c r="H115" t="s">
        <v>41</v>
      </c>
      <c r="I115">
        <v>15</v>
      </c>
      <c r="J115">
        <v>453.8</v>
      </c>
      <c r="K115">
        <v>35.1</v>
      </c>
      <c r="L115">
        <v>16.5</v>
      </c>
      <c r="M115">
        <v>2985.8539999999998</v>
      </c>
      <c r="N115">
        <v>2.83656</v>
      </c>
    </row>
    <row r="116" spans="1:14" x14ac:dyDescent="0.2">
      <c r="A116" t="s">
        <v>612</v>
      </c>
      <c r="B116" t="s">
        <v>388</v>
      </c>
      <c r="C116" t="s">
        <v>511</v>
      </c>
      <c r="D116" t="s">
        <v>512</v>
      </c>
      <c r="E116" t="s">
        <v>513</v>
      </c>
      <c r="F116" t="s">
        <v>514</v>
      </c>
      <c r="G116" t="s">
        <v>515</v>
      </c>
      <c r="H116" t="s">
        <v>41</v>
      </c>
      <c r="I116">
        <v>48</v>
      </c>
      <c r="J116">
        <v>1452</v>
      </c>
      <c r="K116">
        <v>61.3</v>
      </c>
      <c r="L116">
        <v>30.2</v>
      </c>
      <c r="M116">
        <v>17512.609</v>
      </c>
      <c r="N116">
        <v>16.636980000000001</v>
      </c>
    </row>
    <row r="117" spans="1:14" x14ac:dyDescent="0.2">
      <c r="A117" t="s">
        <v>612</v>
      </c>
      <c r="B117" t="s">
        <v>388</v>
      </c>
      <c r="C117" t="s">
        <v>516</v>
      </c>
      <c r="D117" t="s">
        <v>517</v>
      </c>
      <c r="E117" t="s">
        <v>518</v>
      </c>
      <c r="F117" t="s">
        <v>519</v>
      </c>
      <c r="G117" t="s">
        <v>520</v>
      </c>
      <c r="H117" t="s">
        <v>41</v>
      </c>
      <c r="I117">
        <v>62</v>
      </c>
      <c r="J117">
        <v>1875.5</v>
      </c>
      <c r="K117">
        <v>65.900000000000006</v>
      </c>
      <c r="L117">
        <v>36.299999999999997</v>
      </c>
      <c r="M117">
        <v>27199.061000000002</v>
      </c>
      <c r="N117">
        <v>25.839110000000002</v>
      </c>
    </row>
    <row r="118" spans="1:14" x14ac:dyDescent="0.2">
      <c r="A118" t="s">
        <v>612</v>
      </c>
      <c r="B118" t="s">
        <v>388</v>
      </c>
      <c r="C118" t="s">
        <v>521</v>
      </c>
      <c r="D118" t="s">
        <v>522</v>
      </c>
      <c r="E118" t="s">
        <v>523</v>
      </c>
      <c r="F118" t="s">
        <v>524</v>
      </c>
      <c r="G118" t="s">
        <v>525</v>
      </c>
      <c r="H118" t="s">
        <v>41</v>
      </c>
      <c r="I118">
        <v>10</v>
      </c>
      <c r="J118">
        <v>302.5</v>
      </c>
      <c r="K118">
        <v>25.3</v>
      </c>
      <c r="L118">
        <v>15.2</v>
      </c>
      <c r="M118">
        <v>1839.825</v>
      </c>
      <c r="N118">
        <v>1.74783</v>
      </c>
    </row>
    <row r="119" spans="1:14" x14ac:dyDescent="0.2">
      <c r="A119" t="s">
        <v>612</v>
      </c>
      <c r="B119" t="s">
        <v>388</v>
      </c>
      <c r="C119" t="s">
        <v>526</v>
      </c>
      <c r="D119" t="s">
        <v>527</v>
      </c>
      <c r="E119" t="s">
        <v>528</v>
      </c>
      <c r="F119" t="s">
        <v>529</v>
      </c>
      <c r="G119" t="s">
        <v>530</v>
      </c>
      <c r="H119" t="s">
        <v>41</v>
      </c>
      <c r="I119">
        <v>6</v>
      </c>
      <c r="J119">
        <v>181.5</v>
      </c>
      <c r="K119">
        <v>17.8</v>
      </c>
      <c r="L119">
        <v>13</v>
      </c>
      <c r="M119">
        <v>942.63400000000001</v>
      </c>
      <c r="N119">
        <v>0.89549999999999996</v>
      </c>
    </row>
    <row r="120" spans="1:14" x14ac:dyDescent="0.2">
      <c r="A120" t="s">
        <v>612</v>
      </c>
      <c r="B120" t="s">
        <v>388</v>
      </c>
      <c r="C120" t="s">
        <v>531</v>
      </c>
      <c r="D120" t="s">
        <v>532</v>
      </c>
      <c r="E120" t="s">
        <v>533</v>
      </c>
      <c r="F120" t="s">
        <v>534</v>
      </c>
      <c r="G120" t="s">
        <v>535</v>
      </c>
      <c r="H120" t="s">
        <v>41</v>
      </c>
      <c r="I120">
        <v>22</v>
      </c>
      <c r="J120">
        <v>665.5</v>
      </c>
      <c r="K120">
        <v>57.4</v>
      </c>
      <c r="L120">
        <v>14.8</v>
      </c>
      <c r="M120">
        <v>3930.5520000000001</v>
      </c>
      <c r="N120">
        <v>3.7340200000000001</v>
      </c>
    </row>
    <row r="121" spans="1:14" x14ac:dyDescent="0.2">
      <c r="A121" t="s">
        <v>612</v>
      </c>
      <c r="B121" t="s">
        <v>388</v>
      </c>
      <c r="C121" t="s">
        <v>536</v>
      </c>
      <c r="D121" t="s">
        <v>537</v>
      </c>
      <c r="E121" t="s">
        <v>538</v>
      </c>
      <c r="F121" t="s">
        <v>539</v>
      </c>
      <c r="G121" t="s">
        <v>540</v>
      </c>
      <c r="H121" t="s">
        <v>41</v>
      </c>
      <c r="I121">
        <v>9</v>
      </c>
      <c r="J121">
        <v>272.3</v>
      </c>
      <c r="K121">
        <v>25.3</v>
      </c>
      <c r="L121">
        <v>13.7</v>
      </c>
      <c r="M121">
        <v>1490.258</v>
      </c>
      <c r="N121">
        <v>1.4157500000000001</v>
      </c>
    </row>
    <row r="122" spans="1:14" x14ac:dyDescent="0.2">
      <c r="A122" t="s">
        <v>612</v>
      </c>
      <c r="B122" t="s">
        <v>388</v>
      </c>
      <c r="C122" t="s">
        <v>541</v>
      </c>
      <c r="D122" t="s">
        <v>542</v>
      </c>
      <c r="E122" t="s">
        <v>543</v>
      </c>
      <c r="F122" t="s">
        <v>544</v>
      </c>
      <c r="G122" t="s">
        <v>545</v>
      </c>
      <c r="H122" t="s">
        <v>41</v>
      </c>
      <c r="I122">
        <v>53</v>
      </c>
      <c r="J122">
        <v>1603.3</v>
      </c>
      <c r="K122">
        <v>56.8</v>
      </c>
      <c r="L122">
        <v>35.9</v>
      </c>
      <c r="M122">
        <v>23048.664000000001</v>
      </c>
      <c r="N122">
        <v>21.896229999999999</v>
      </c>
    </row>
    <row r="123" spans="1:14" x14ac:dyDescent="0.2">
      <c r="A123" t="s">
        <v>612</v>
      </c>
      <c r="B123" t="s">
        <v>388</v>
      </c>
      <c r="C123" t="s">
        <v>546</v>
      </c>
      <c r="D123" t="s">
        <v>547</v>
      </c>
      <c r="E123" t="s">
        <v>548</v>
      </c>
      <c r="F123" t="s">
        <v>549</v>
      </c>
      <c r="G123" t="s">
        <v>550</v>
      </c>
      <c r="H123" t="s">
        <v>41</v>
      </c>
      <c r="I123">
        <v>285</v>
      </c>
      <c r="J123">
        <v>8621.2999999999993</v>
      </c>
      <c r="K123">
        <v>196.9</v>
      </c>
      <c r="L123">
        <v>55.8</v>
      </c>
      <c r="M123">
        <v>192294.90599999999</v>
      </c>
      <c r="N123">
        <v>182.68016</v>
      </c>
    </row>
    <row r="124" spans="1:14" x14ac:dyDescent="0.2">
      <c r="A124" t="s">
        <v>612</v>
      </c>
      <c r="B124" t="s">
        <v>388</v>
      </c>
      <c r="C124" t="s">
        <v>551</v>
      </c>
      <c r="D124" t="s">
        <v>552</v>
      </c>
      <c r="E124" t="s">
        <v>553</v>
      </c>
      <c r="F124" t="s">
        <v>554</v>
      </c>
      <c r="G124" t="s">
        <v>555</v>
      </c>
      <c r="H124" t="s">
        <v>41</v>
      </c>
      <c r="I124">
        <v>27</v>
      </c>
      <c r="J124">
        <v>816.8</v>
      </c>
      <c r="K124">
        <v>38.299999999999997</v>
      </c>
      <c r="L124">
        <v>27.2</v>
      </c>
      <c r="M124">
        <v>8879.1749999999993</v>
      </c>
      <c r="N124">
        <v>8.4352199999999993</v>
      </c>
    </row>
    <row r="125" spans="1:14" x14ac:dyDescent="0.2">
      <c r="A125" t="s">
        <v>612</v>
      </c>
      <c r="B125" t="s">
        <v>556</v>
      </c>
      <c r="C125" t="s">
        <v>12</v>
      </c>
      <c r="D125" t="s">
        <v>557</v>
      </c>
      <c r="E125" t="s">
        <v>417</v>
      </c>
      <c r="F125" t="s">
        <v>558</v>
      </c>
      <c r="G125" t="s">
        <v>419</v>
      </c>
      <c r="H125" t="s">
        <v>17</v>
      </c>
      <c r="I125">
        <v>63</v>
      </c>
      <c r="J125">
        <v>1905.8</v>
      </c>
      <c r="K125">
        <v>122.6</v>
      </c>
      <c r="L125">
        <v>19.8</v>
      </c>
      <c r="M125">
        <v>15084.275</v>
      </c>
      <c r="N125">
        <v>20.816299999999998</v>
      </c>
    </row>
    <row r="126" spans="1:14" x14ac:dyDescent="0.2">
      <c r="A126" t="s">
        <v>612</v>
      </c>
      <c r="B126" t="s">
        <v>556</v>
      </c>
      <c r="C126" t="s">
        <v>19</v>
      </c>
      <c r="D126" t="s">
        <v>559</v>
      </c>
      <c r="E126" t="s">
        <v>560</v>
      </c>
      <c r="F126" t="s">
        <v>561</v>
      </c>
      <c r="G126" t="s">
        <v>562</v>
      </c>
      <c r="H126" t="s">
        <v>17</v>
      </c>
      <c r="I126">
        <v>30</v>
      </c>
      <c r="J126">
        <v>907.5</v>
      </c>
      <c r="K126">
        <v>45</v>
      </c>
      <c r="L126">
        <v>25.7</v>
      </c>
      <c r="M126">
        <v>9327.8539999999994</v>
      </c>
      <c r="N126">
        <v>12.872439999999999</v>
      </c>
    </row>
    <row r="127" spans="1:14" x14ac:dyDescent="0.2">
      <c r="A127" t="s">
        <v>612</v>
      </c>
      <c r="B127" t="s">
        <v>556</v>
      </c>
      <c r="C127" t="s">
        <v>26</v>
      </c>
      <c r="D127" t="s">
        <v>563</v>
      </c>
      <c r="E127" t="s">
        <v>288</v>
      </c>
      <c r="F127" t="s">
        <v>564</v>
      </c>
      <c r="G127" t="s">
        <v>565</v>
      </c>
      <c r="H127" t="s">
        <v>17</v>
      </c>
      <c r="I127">
        <v>438</v>
      </c>
      <c r="J127">
        <v>13249.5</v>
      </c>
      <c r="K127">
        <v>376.7</v>
      </c>
      <c r="L127">
        <v>44.8</v>
      </c>
      <c r="M127">
        <v>237312.18799999999</v>
      </c>
      <c r="N127">
        <v>327.49081000000001</v>
      </c>
    </row>
    <row r="128" spans="1:14" x14ac:dyDescent="0.2">
      <c r="A128" t="s">
        <v>612</v>
      </c>
      <c r="B128" t="s">
        <v>556</v>
      </c>
      <c r="C128" t="s">
        <v>31</v>
      </c>
      <c r="D128" t="s">
        <v>566</v>
      </c>
      <c r="E128" t="s">
        <v>567</v>
      </c>
      <c r="F128" t="s">
        <v>568</v>
      </c>
      <c r="G128" t="s">
        <v>569</v>
      </c>
      <c r="H128" t="s">
        <v>17</v>
      </c>
      <c r="I128">
        <v>143</v>
      </c>
      <c r="J128">
        <v>4325.8</v>
      </c>
      <c r="K128">
        <v>155</v>
      </c>
      <c r="L128">
        <v>35.5</v>
      </c>
      <c r="M128">
        <v>61491.612999999998</v>
      </c>
      <c r="N128">
        <v>84.858429999999998</v>
      </c>
    </row>
    <row r="129" spans="1:14" x14ac:dyDescent="0.2">
      <c r="A129" t="s">
        <v>612</v>
      </c>
      <c r="B129" t="s">
        <v>556</v>
      </c>
      <c r="C129" t="s">
        <v>36</v>
      </c>
      <c r="D129" t="s">
        <v>570</v>
      </c>
      <c r="E129" t="s">
        <v>571</v>
      </c>
      <c r="F129" t="s">
        <v>572</v>
      </c>
      <c r="G129" t="s">
        <v>573</v>
      </c>
      <c r="H129" t="s">
        <v>17</v>
      </c>
      <c r="I129">
        <v>56</v>
      </c>
      <c r="J129">
        <v>1694</v>
      </c>
      <c r="K129">
        <v>68.900000000000006</v>
      </c>
      <c r="L129">
        <v>31.3</v>
      </c>
      <c r="M129">
        <v>21204.098000000002</v>
      </c>
      <c r="N129">
        <v>29.261649999999999</v>
      </c>
    </row>
    <row r="130" spans="1:14" x14ac:dyDescent="0.2">
      <c r="A130" t="s">
        <v>612</v>
      </c>
      <c r="B130" t="s">
        <v>556</v>
      </c>
      <c r="C130" t="s">
        <v>42</v>
      </c>
      <c r="D130" t="s">
        <v>574</v>
      </c>
      <c r="E130" t="s">
        <v>575</v>
      </c>
      <c r="F130" t="s">
        <v>576</v>
      </c>
      <c r="G130" t="s">
        <v>577</v>
      </c>
      <c r="H130" t="s">
        <v>17</v>
      </c>
      <c r="I130">
        <v>21</v>
      </c>
      <c r="J130">
        <v>635.29999999999995</v>
      </c>
      <c r="K130">
        <v>42.4</v>
      </c>
      <c r="L130">
        <v>19.100000000000001</v>
      </c>
      <c r="M130">
        <v>4847.7879999999996</v>
      </c>
      <c r="N130">
        <v>6.6899499999999996</v>
      </c>
    </row>
    <row r="131" spans="1:14" x14ac:dyDescent="0.2">
      <c r="A131" t="s">
        <v>612</v>
      </c>
      <c r="B131" t="s">
        <v>556</v>
      </c>
      <c r="C131" t="s">
        <v>48</v>
      </c>
      <c r="D131" t="s">
        <v>389</v>
      </c>
      <c r="E131" t="s">
        <v>578</v>
      </c>
      <c r="F131" t="s">
        <v>391</v>
      </c>
      <c r="G131" t="s">
        <v>579</v>
      </c>
      <c r="H131" t="s">
        <v>24</v>
      </c>
      <c r="I131">
        <v>25</v>
      </c>
      <c r="J131">
        <v>756.3</v>
      </c>
      <c r="K131">
        <v>40.700000000000003</v>
      </c>
      <c r="L131">
        <v>23.6</v>
      </c>
      <c r="M131">
        <v>7153.576</v>
      </c>
      <c r="N131">
        <v>6.7958999999999996</v>
      </c>
    </row>
    <row r="132" spans="1:14" x14ac:dyDescent="0.2">
      <c r="A132" t="s">
        <v>612</v>
      </c>
      <c r="B132" t="s">
        <v>556</v>
      </c>
      <c r="C132" t="s">
        <v>84</v>
      </c>
      <c r="D132" t="s">
        <v>580</v>
      </c>
      <c r="E132" t="s">
        <v>581</v>
      </c>
      <c r="F132" t="s">
        <v>582</v>
      </c>
      <c r="G132" t="s">
        <v>583</v>
      </c>
      <c r="H132" t="s">
        <v>24</v>
      </c>
      <c r="I132">
        <v>94</v>
      </c>
      <c r="J132">
        <v>2843.5</v>
      </c>
      <c r="K132">
        <v>81.099999999999994</v>
      </c>
      <c r="L132">
        <v>44.6</v>
      </c>
      <c r="M132">
        <v>50770.5</v>
      </c>
      <c r="N132">
        <v>48.231969999999997</v>
      </c>
    </row>
    <row r="133" spans="1:14" x14ac:dyDescent="0.2">
      <c r="A133" t="s">
        <v>612</v>
      </c>
      <c r="B133" t="s">
        <v>556</v>
      </c>
      <c r="C133" t="s">
        <v>89</v>
      </c>
      <c r="D133" t="s">
        <v>584</v>
      </c>
      <c r="E133" t="s">
        <v>585</v>
      </c>
      <c r="F133" t="s">
        <v>586</v>
      </c>
      <c r="G133" t="s">
        <v>587</v>
      </c>
      <c r="H133" t="s">
        <v>24</v>
      </c>
      <c r="I133">
        <v>158</v>
      </c>
      <c r="J133">
        <v>4779.5</v>
      </c>
      <c r="K133">
        <v>107.8</v>
      </c>
      <c r="L133">
        <v>56.4</v>
      </c>
      <c r="M133">
        <v>107874.781</v>
      </c>
      <c r="N133">
        <v>102.48103999999999</v>
      </c>
    </row>
    <row r="134" spans="1:14" x14ac:dyDescent="0.2">
      <c r="A134" t="s">
        <v>612</v>
      </c>
      <c r="B134" t="s">
        <v>556</v>
      </c>
      <c r="C134" t="s">
        <v>94</v>
      </c>
      <c r="D134" t="s">
        <v>588</v>
      </c>
      <c r="E134" t="s">
        <v>101</v>
      </c>
      <c r="F134" t="s">
        <v>589</v>
      </c>
      <c r="G134" t="s">
        <v>103</v>
      </c>
      <c r="H134" t="s">
        <v>24</v>
      </c>
      <c r="I134">
        <v>13</v>
      </c>
      <c r="J134">
        <v>393.3</v>
      </c>
      <c r="K134">
        <v>33.5</v>
      </c>
      <c r="L134">
        <v>14.9</v>
      </c>
      <c r="M134">
        <v>2347.9279999999999</v>
      </c>
      <c r="N134">
        <v>2.2305299999999999</v>
      </c>
    </row>
    <row r="135" spans="1:14" x14ac:dyDescent="0.2">
      <c r="A135" t="s">
        <v>612</v>
      </c>
      <c r="B135" t="s">
        <v>556</v>
      </c>
      <c r="C135" t="s">
        <v>99</v>
      </c>
      <c r="D135" t="s">
        <v>590</v>
      </c>
      <c r="E135" t="s">
        <v>591</v>
      </c>
      <c r="F135" t="s">
        <v>592</v>
      </c>
      <c r="G135" t="s">
        <v>593</v>
      </c>
      <c r="H135" t="s">
        <v>24</v>
      </c>
      <c r="I135">
        <v>118</v>
      </c>
      <c r="J135">
        <v>3569.5</v>
      </c>
      <c r="K135">
        <v>111.1</v>
      </c>
      <c r="L135">
        <v>40.9</v>
      </c>
      <c r="M135">
        <v>58413.379000000001</v>
      </c>
      <c r="N135">
        <v>55.492710000000002</v>
      </c>
    </row>
    <row r="136" spans="1:14" x14ac:dyDescent="0.2">
      <c r="A136" t="s">
        <v>612</v>
      </c>
      <c r="B136" t="s">
        <v>556</v>
      </c>
      <c r="C136" t="s">
        <v>104</v>
      </c>
      <c r="D136" t="s">
        <v>594</v>
      </c>
      <c r="E136" t="s">
        <v>595</v>
      </c>
      <c r="F136" t="s">
        <v>596</v>
      </c>
      <c r="G136" t="s">
        <v>597</v>
      </c>
      <c r="H136" t="s">
        <v>24</v>
      </c>
      <c r="I136">
        <v>226</v>
      </c>
      <c r="J136">
        <v>6836.5</v>
      </c>
      <c r="K136">
        <v>121.2</v>
      </c>
      <c r="L136">
        <v>71.8</v>
      </c>
      <c r="M136">
        <v>196368.25</v>
      </c>
      <c r="N136">
        <v>186.54982999999999</v>
      </c>
    </row>
    <row r="137" spans="1:14" x14ac:dyDescent="0.2">
      <c r="A137" t="s">
        <v>612</v>
      </c>
      <c r="B137" t="s">
        <v>556</v>
      </c>
      <c r="C137" t="s">
        <v>109</v>
      </c>
      <c r="D137" t="s">
        <v>598</v>
      </c>
      <c r="E137" t="s">
        <v>599</v>
      </c>
      <c r="F137" t="s">
        <v>600</v>
      </c>
      <c r="G137" t="s">
        <v>601</v>
      </c>
      <c r="H137" t="s">
        <v>24</v>
      </c>
      <c r="I137">
        <v>135</v>
      </c>
      <c r="J137">
        <v>4083.8</v>
      </c>
      <c r="K137">
        <v>117</v>
      </c>
      <c r="L137">
        <v>44.4</v>
      </c>
      <c r="M137">
        <v>72565.422000000006</v>
      </c>
      <c r="N137">
        <v>68.937150000000003</v>
      </c>
    </row>
    <row r="138" spans="1:14" x14ac:dyDescent="0.2">
      <c r="A138" t="s">
        <v>612</v>
      </c>
      <c r="B138" t="s">
        <v>556</v>
      </c>
      <c r="C138" t="s">
        <v>114</v>
      </c>
      <c r="D138" t="s">
        <v>602</v>
      </c>
      <c r="E138" t="s">
        <v>603</v>
      </c>
      <c r="F138" t="s">
        <v>604</v>
      </c>
      <c r="G138" t="s">
        <v>605</v>
      </c>
      <c r="H138" t="s">
        <v>41</v>
      </c>
      <c r="I138">
        <v>8</v>
      </c>
      <c r="J138">
        <v>242</v>
      </c>
      <c r="K138">
        <v>22.9</v>
      </c>
      <c r="L138">
        <v>13.5</v>
      </c>
      <c r="M138">
        <v>1302.8879999999999</v>
      </c>
      <c r="N138">
        <v>1.2377400000000001</v>
      </c>
    </row>
    <row r="139" spans="1:14" x14ac:dyDescent="0.2">
      <c r="A139" t="s">
        <v>612</v>
      </c>
      <c r="B139" t="s">
        <v>556</v>
      </c>
      <c r="C139" t="s">
        <v>119</v>
      </c>
      <c r="D139" t="s">
        <v>606</v>
      </c>
      <c r="E139" t="s">
        <v>607</v>
      </c>
      <c r="F139" t="s">
        <v>608</v>
      </c>
      <c r="G139" t="s">
        <v>609</v>
      </c>
      <c r="H139" t="s">
        <v>41</v>
      </c>
      <c r="I139">
        <v>78</v>
      </c>
      <c r="J139">
        <v>2359.5</v>
      </c>
      <c r="K139">
        <v>115.4</v>
      </c>
      <c r="L139">
        <v>26</v>
      </c>
      <c r="M139">
        <v>24565.32</v>
      </c>
      <c r="N139">
        <v>23.337050000000001</v>
      </c>
    </row>
    <row r="140" spans="1:14" x14ac:dyDescent="0.2">
      <c r="A140" t="s">
        <v>612</v>
      </c>
      <c r="B140" t="s">
        <v>556</v>
      </c>
      <c r="C140" t="s">
        <v>124</v>
      </c>
      <c r="D140" t="s">
        <v>470</v>
      </c>
      <c r="E140" t="s">
        <v>610</v>
      </c>
      <c r="F140" t="s">
        <v>472</v>
      </c>
      <c r="G140" t="s">
        <v>611</v>
      </c>
      <c r="H140" t="s">
        <v>41</v>
      </c>
      <c r="I140">
        <v>9</v>
      </c>
      <c r="J140">
        <v>272.3</v>
      </c>
      <c r="K140">
        <v>25.3</v>
      </c>
      <c r="L140">
        <v>13.7</v>
      </c>
      <c r="M140">
        <v>1490.258</v>
      </c>
      <c r="N140">
        <v>1.4157500000000001</v>
      </c>
    </row>
    <row r="141" spans="1:14" x14ac:dyDescent="0.2">
      <c r="A141" t="s">
        <v>645</v>
      </c>
      <c r="B141" t="s">
        <v>613</v>
      </c>
      <c r="C141" t="s">
        <v>12</v>
      </c>
      <c r="D141" t="s">
        <v>614</v>
      </c>
      <c r="E141" t="s">
        <v>615</v>
      </c>
      <c r="F141" t="s">
        <v>616</v>
      </c>
      <c r="G141" t="s">
        <v>617</v>
      </c>
      <c r="H141" t="s">
        <v>25</v>
      </c>
      <c r="I141">
        <v>30</v>
      </c>
      <c r="J141">
        <v>907.5</v>
      </c>
      <c r="K141">
        <v>58</v>
      </c>
      <c r="L141">
        <v>19.899999999999999</v>
      </c>
      <c r="M141">
        <v>7226.7</v>
      </c>
      <c r="N141">
        <v>8.2384400000000007</v>
      </c>
    </row>
    <row r="142" spans="1:14" x14ac:dyDescent="0.2">
      <c r="A142" t="s">
        <v>645</v>
      </c>
      <c r="B142" t="s">
        <v>613</v>
      </c>
      <c r="C142" t="s">
        <v>19</v>
      </c>
      <c r="D142" t="s">
        <v>618</v>
      </c>
      <c r="E142" t="s">
        <v>619</v>
      </c>
      <c r="F142" t="s">
        <v>620</v>
      </c>
      <c r="G142" t="s">
        <v>621</v>
      </c>
      <c r="H142" t="s">
        <v>17</v>
      </c>
      <c r="I142">
        <v>38</v>
      </c>
      <c r="J142">
        <v>1149.5</v>
      </c>
      <c r="K142">
        <v>53.8</v>
      </c>
      <c r="L142">
        <v>27.2</v>
      </c>
      <c r="M142">
        <v>12519.422</v>
      </c>
      <c r="N142">
        <v>17.276800000000001</v>
      </c>
    </row>
    <row r="143" spans="1:14" x14ac:dyDescent="0.2">
      <c r="A143" t="s">
        <v>645</v>
      </c>
      <c r="B143" t="s">
        <v>613</v>
      </c>
      <c r="C143" t="s">
        <v>26</v>
      </c>
      <c r="D143" t="s">
        <v>622</v>
      </c>
      <c r="E143" t="s">
        <v>623</v>
      </c>
      <c r="F143" t="s">
        <v>624</v>
      </c>
      <c r="G143" t="s">
        <v>625</v>
      </c>
      <c r="H143" t="s">
        <v>24</v>
      </c>
      <c r="I143">
        <v>45</v>
      </c>
      <c r="J143">
        <v>1361.3</v>
      </c>
      <c r="K143">
        <v>52.8</v>
      </c>
      <c r="L143">
        <v>32.799999999999997</v>
      </c>
      <c r="M143">
        <v>17869.27</v>
      </c>
      <c r="N143">
        <v>16.975809999999999</v>
      </c>
    </row>
    <row r="144" spans="1:14" x14ac:dyDescent="0.2">
      <c r="A144" t="s">
        <v>645</v>
      </c>
      <c r="B144" t="s">
        <v>613</v>
      </c>
      <c r="C144" t="s">
        <v>31</v>
      </c>
      <c r="D144" t="s">
        <v>626</v>
      </c>
      <c r="E144" t="s">
        <v>627</v>
      </c>
      <c r="F144" t="s">
        <v>628</v>
      </c>
      <c r="G144" t="s">
        <v>629</v>
      </c>
      <c r="H144" t="s">
        <v>24</v>
      </c>
      <c r="I144">
        <v>54</v>
      </c>
      <c r="J144">
        <v>1633.5</v>
      </c>
      <c r="K144">
        <v>72.3</v>
      </c>
      <c r="L144">
        <v>28.8</v>
      </c>
      <c r="M144">
        <v>18797.136999999999</v>
      </c>
      <c r="N144">
        <v>17.857279999999999</v>
      </c>
    </row>
    <row r="145" spans="1:14" x14ac:dyDescent="0.2">
      <c r="A145" t="s">
        <v>645</v>
      </c>
      <c r="B145" t="s">
        <v>613</v>
      </c>
      <c r="C145" t="s">
        <v>36</v>
      </c>
      <c r="D145" t="s">
        <v>630</v>
      </c>
      <c r="E145" t="s">
        <v>631</v>
      </c>
      <c r="F145" t="s">
        <v>632</v>
      </c>
      <c r="G145" t="s">
        <v>633</v>
      </c>
      <c r="H145" t="s">
        <v>24</v>
      </c>
      <c r="I145">
        <v>135</v>
      </c>
      <c r="J145">
        <v>4083.8</v>
      </c>
      <c r="K145">
        <v>108.2</v>
      </c>
      <c r="L145">
        <v>48</v>
      </c>
      <c r="M145">
        <v>78469.483999999997</v>
      </c>
      <c r="N145">
        <v>74.546009999999995</v>
      </c>
    </row>
    <row r="146" spans="1:14" x14ac:dyDescent="0.2">
      <c r="A146" t="s">
        <v>645</v>
      </c>
      <c r="B146" t="s">
        <v>613</v>
      </c>
      <c r="C146" t="s">
        <v>42</v>
      </c>
      <c r="D146" t="s">
        <v>630</v>
      </c>
      <c r="E146" t="s">
        <v>634</v>
      </c>
      <c r="F146" t="s">
        <v>632</v>
      </c>
      <c r="G146" t="s">
        <v>635</v>
      </c>
      <c r="H146" t="s">
        <v>24</v>
      </c>
      <c r="I146">
        <v>9</v>
      </c>
      <c r="J146">
        <v>272.3</v>
      </c>
      <c r="K146">
        <v>22.9</v>
      </c>
      <c r="L146">
        <v>15.1</v>
      </c>
      <c r="M146">
        <v>1648.9680000000001</v>
      </c>
      <c r="N146">
        <v>1.5665199999999999</v>
      </c>
    </row>
    <row r="147" spans="1:14" x14ac:dyDescent="0.2">
      <c r="A147" t="s">
        <v>645</v>
      </c>
      <c r="B147" t="s">
        <v>613</v>
      </c>
      <c r="C147" t="s">
        <v>48</v>
      </c>
      <c r="D147" t="s">
        <v>636</v>
      </c>
      <c r="E147" t="s">
        <v>637</v>
      </c>
      <c r="F147" t="s">
        <v>638</v>
      </c>
      <c r="G147" t="s">
        <v>639</v>
      </c>
      <c r="H147" t="s">
        <v>24</v>
      </c>
      <c r="I147">
        <v>22</v>
      </c>
      <c r="J147">
        <v>665.5</v>
      </c>
      <c r="K147">
        <v>40.700000000000003</v>
      </c>
      <c r="L147">
        <v>20.8</v>
      </c>
      <c r="M147">
        <v>5539.7290000000003</v>
      </c>
      <c r="N147">
        <v>5.26274</v>
      </c>
    </row>
    <row r="148" spans="1:14" x14ac:dyDescent="0.2">
      <c r="A148" t="s">
        <v>645</v>
      </c>
      <c r="B148" t="s">
        <v>640</v>
      </c>
      <c r="C148" t="s">
        <v>12</v>
      </c>
      <c r="D148" t="s">
        <v>641</v>
      </c>
      <c r="E148" t="s">
        <v>642</v>
      </c>
      <c r="F148" t="s">
        <v>643</v>
      </c>
      <c r="G148" t="s">
        <v>644</v>
      </c>
      <c r="H148" t="s">
        <v>24</v>
      </c>
      <c r="I148">
        <v>167</v>
      </c>
      <c r="J148">
        <v>5051.8</v>
      </c>
      <c r="K148">
        <v>178.6</v>
      </c>
      <c r="L148">
        <v>36</v>
      </c>
      <c r="M148">
        <v>72773.906000000003</v>
      </c>
      <c r="N148">
        <v>69.135210000000001</v>
      </c>
    </row>
    <row r="149" spans="1:14" x14ac:dyDescent="0.2">
      <c r="A149" t="s">
        <v>753</v>
      </c>
      <c r="B149" t="s">
        <v>646</v>
      </c>
      <c r="C149" t="s">
        <v>12</v>
      </c>
      <c r="D149" t="s">
        <v>229</v>
      </c>
      <c r="E149" t="s">
        <v>647</v>
      </c>
      <c r="F149" t="s">
        <v>231</v>
      </c>
      <c r="G149" t="s">
        <v>648</v>
      </c>
      <c r="H149" t="s">
        <v>17</v>
      </c>
      <c r="I149">
        <v>31</v>
      </c>
      <c r="J149">
        <v>937.8</v>
      </c>
      <c r="K149">
        <v>43.4</v>
      </c>
      <c r="L149">
        <v>27.5</v>
      </c>
      <c r="M149">
        <v>10321.066999999999</v>
      </c>
      <c r="N149">
        <v>14.243069999999999</v>
      </c>
    </row>
    <row r="150" spans="1:14" x14ac:dyDescent="0.2">
      <c r="A150" t="s">
        <v>753</v>
      </c>
      <c r="B150" t="s">
        <v>646</v>
      </c>
      <c r="C150" t="s">
        <v>19</v>
      </c>
      <c r="D150" t="s">
        <v>649</v>
      </c>
      <c r="E150" t="s">
        <v>650</v>
      </c>
      <c r="F150" t="s">
        <v>651</v>
      </c>
      <c r="G150" t="s">
        <v>652</v>
      </c>
      <c r="H150" t="s">
        <v>24</v>
      </c>
      <c r="I150">
        <v>83</v>
      </c>
      <c r="J150">
        <v>2510.8000000000002</v>
      </c>
      <c r="K150">
        <v>83.8</v>
      </c>
      <c r="L150">
        <v>38.200000000000003</v>
      </c>
      <c r="M150">
        <v>38327.906000000003</v>
      </c>
      <c r="N150">
        <v>36.41151</v>
      </c>
    </row>
    <row r="151" spans="1:14" x14ac:dyDescent="0.2">
      <c r="A151" t="s">
        <v>753</v>
      </c>
      <c r="B151" t="s">
        <v>646</v>
      </c>
      <c r="C151" t="s">
        <v>26</v>
      </c>
      <c r="D151" t="s">
        <v>653</v>
      </c>
      <c r="E151" t="s">
        <v>654</v>
      </c>
      <c r="F151" t="s">
        <v>655</v>
      </c>
      <c r="G151" t="s">
        <v>656</v>
      </c>
      <c r="H151" t="s">
        <v>24</v>
      </c>
      <c r="I151">
        <v>27</v>
      </c>
      <c r="J151">
        <v>816.8</v>
      </c>
      <c r="K151">
        <v>37.1</v>
      </c>
      <c r="L151">
        <v>28</v>
      </c>
      <c r="M151">
        <v>9159.5550000000003</v>
      </c>
      <c r="N151">
        <v>8.7015799999999999</v>
      </c>
    </row>
    <row r="152" spans="1:14" x14ac:dyDescent="0.2">
      <c r="A152" t="s">
        <v>753</v>
      </c>
      <c r="B152" t="s">
        <v>646</v>
      </c>
      <c r="C152" t="s">
        <v>31</v>
      </c>
      <c r="D152" t="s">
        <v>657</v>
      </c>
      <c r="E152" t="s">
        <v>658</v>
      </c>
      <c r="F152" t="s">
        <v>659</v>
      </c>
      <c r="G152" t="s">
        <v>660</v>
      </c>
      <c r="H152" t="s">
        <v>24</v>
      </c>
      <c r="I152">
        <v>45</v>
      </c>
      <c r="J152">
        <v>1361.3</v>
      </c>
      <c r="K152">
        <v>60.6</v>
      </c>
      <c r="L152">
        <v>28.6</v>
      </c>
      <c r="M152">
        <v>15565.597</v>
      </c>
      <c r="N152">
        <v>14.787319999999999</v>
      </c>
    </row>
    <row r="153" spans="1:14" x14ac:dyDescent="0.2">
      <c r="A153" t="s">
        <v>753</v>
      </c>
      <c r="B153" t="s">
        <v>646</v>
      </c>
      <c r="C153" t="s">
        <v>36</v>
      </c>
      <c r="D153" t="s">
        <v>661</v>
      </c>
      <c r="E153" t="s">
        <v>662</v>
      </c>
      <c r="F153" t="s">
        <v>663</v>
      </c>
      <c r="G153" t="s">
        <v>664</v>
      </c>
      <c r="H153" t="s">
        <v>24</v>
      </c>
      <c r="I153">
        <v>80</v>
      </c>
      <c r="J153">
        <v>2420</v>
      </c>
      <c r="K153">
        <v>137</v>
      </c>
      <c r="L153">
        <v>22.5</v>
      </c>
      <c r="M153">
        <v>21774.080000000002</v>
      </c>
      <c r="N153">
        <v>20.685379999999999</v>
      </c>
    </row>
    <row r="154" spans="1:14" x14ac:dyDescent="0.2">
      <c r="A154" t="s">
        <v>753</v>
      </c>
      <c r="B154" t="s">
        <v>646</v>
      </c>
      <c r="C154" t="s">
        <v>42</v>
      </c>
      <c r="D154" t="s">
        <v>665</v>
      </c>
      <c r="E154" t="s">
        <v>666</v>
      </c>
      <c r="F154" t="s">
        <v>667</v>
      </c>
      <c r="G154" t="s">
        <v>668</v>
      </c>
      <c r="H154" t="s">
        <v>24</v>
      </c>
      <c r="I154">
        <v>23</v>
      </c>
      <c r="J154">
        <v>695.8</v>
      </c>
      <c r="K154">
        <v>35.1</v>
      </c>
      <c r="L154">
        <v>25.2</v>
      </c>
      <c r="M154">
        <v>7020.0749999999998</v>
      </c>
      <c r="N154">
        <v>6.6690699999999996</v>
      </c>
    </row>
    <row r="155" spans="1:14" x14ac:dyDescent="0.2">
      <c r="A155" t="s">
        <v>753</v>
      </c>
      <c r="B155" t="s">
        <v>646</v>
      </c>
      <c r="C155" t="s">
        <v>48</v>
      </c>
      <c r="D155" t="s">
        <v>669</v>
      </c>
      <c r="E155" t="s">
        <v>218</v>
      </c>
      <c r="F155" t="s">
        <v>670</v>
      </c>
      <c r="G155" t="s">
        <v>220</v>
      </c>
      <c r="H155" t="s">
        <v>24</v>
      </c>
      <c r="I155">
        <v>6</v>
      </c>
      <c r="J155">
        <v>181.5</v>
      </c>
      <c r="K155">
        <v>21.1</v>
      </c>
      <c r="L155">
        <v>11</v>
      </c>
      <c r="M155">
        <v>796.78300000000002</v>
      </c>
      <c r="N155">
        <v>0.75693999999999995</v>
      </c>
    </row>
    <row r="156" spans="1:14" x14ac:dyDescent="0.2">
      <c r="A156" t="s">
        <v>753</v>
      </c>
      <c r="B156" t="s">
        <v>646</v>
      </c>
      <c r="C156" t="s">
        <v>84</v>
      </c>
      <c r="D156" t="s">
        <v>671</v>
      </c>
      <c r="E156" t="s">
        <v>672</v>
      </c>
      <c r="F156" t="s">
        <v>673</v>
      </c>
      <c r="G156" t="s">
        <v>674</v>
      </c>
      <c r="H156" t="s">
        <v>24</v>
      </c>
      <c r="I156">
        <v>22</v>
      </c>
      <c r="J156">
        <v>665.5</v>
      </c>
      <c r="K156">
        <v>37.6</v>
      </c>
      <c r="L156">
        <v>22.6</v>
      </c>
      <c r="M156">
        <v>6003.7460000000001</v>
      </c>
      <c r="N156">
        <v>5.7035600000000004</v>
      </c>
    </row>
    <row r="157" spans="1:14" x14ac:dyDescent="0.2">
      <c r="A157" t="s">
        <v>753</v>
      </c>
      <c r="B157" t="s">
        <v>646</v>
      </c>
      <c r="C157" t="s">
        <v>89</v>
      </c>
      <c r="D157" t="s">
        <v>675</v>
      </c>
      <c r="E157" t="s">
        <v>676</v>
      </c>
      <c r="F157" t="s">
        <v>677</v>
      </c>
      <c r="G157" t="s">
        <v>678</v>
      </c>
      <c r="H157" t="s">
        <v>24</v>
      </c>
      <c r="I157">
        <v>26</v>
      </c>
      <c r="J157">
        <v>786.5</v>
      </c>
      <c r="K157">
        <v>45</v>
      </c>
      <c r="L157">
        <v>22.3</v>
      </c>
      <c r="M157">
        <v>7006.2529999999997</v>
      </c>
      <c r="N157">
        <v>6.6559400000000002</v>
      </c>
    </row>
    <row r="158" spans="1:14" x14ac:dyDescent="0.2">
      <c r="A158" t="s">
        <v>753</v>
      </c>
      <c r="B158" t="s">
        <v>646</v>
      </c>
      <c r="C158" t="s">
        <v>94</v>
      </c>
      <c r="D158" t="s">
        <v>679</v>
      </c>
      <c r="E158" t="s">
        <v>680</v>
      </c>
      <c r="F158" t="s">
        <v>681</v>
      </c>
      <c r="G158" t="s">
        <v>682</v>
      </c>
      <c r="H158" t="s">
        <v>24</v>
      </c>
      <c r="I158">
        <v>10</v>
      </c>
      <c r="J158">
        <v>302.5</v>
      </c>
      <c r="K158">
        <v>22.9</v>
      </c>
      <c r="L158">
        <v>16.8</v>
      </c>
      <c r="M158">
        <v>2035.7629999999999</v>
      </c>
      <c r="N158">
        <v>1.93397</v>
      </c>
    </row>
    <row r="159" spans="1:14" x14ac:dyDescent="0.2">
      <c r="A159" t="s">
        <v>753</v>
      </c>
      <c r="B159" t="s">
        <v>646</v>
      </c>
      <c r="C159" t="s">
        <v>99</v>
      </c>
      <c r="D159" t="s">
        <v>683</v>
      </c>
      <c r="E159" t="s">
        <v>684</v>
      </c>
      <c r="F159" t="s">
        <v>685</v>
      </c>
      <c r="G159" t="s">
        <v>686</v>
      </c>
      <c r="H159" t="s">
        <v>24</v>
      </c>
      <c r="I159">
        <v>47</v>
      </c>
      <c r="J159">
        <v>1421.8</v>
      </c>
      <c r="K159">
        <v>55.5</v>
      </c>
      <c r="L159">
        <v>32.6</v>
      </c>
      <c r="M159">
        <v>18565.692999999999</v>
      </c>
      <c r="N159">
        <v>17.637409999999999</v>
      </c>
    </row>
    <row r="160" spans="1:14" x14ac:dyDescent="0.2">
      <c r="A160" t="s">
        <v>753</v>
      </c>
      <c r="B160" t="s">
        <v>646</v>
      </c>
      <c r="C160" t="s">
        <v>104</v>
      </c>
      <c r="D160" t="s">
        <v>687</v>
      </c>
      <c r="E160" t="s">
        <v>688</v>
      </c>
      <c r="F160" t="s">
        <v>689</v>
      </c>
      <c r="G160" t="s">
        <v>690</v>
      </c>
      <c r="H160" t="s">
        <v>24</v>
      </c>
      <c r="I160">
        <v>150</v>
      </c>
      <c r="J160">
        <v>4537.5</v>
      </c>
      <c r="K160">
        <v>114.7</v>
      </c>
      <c r="L160">
        <v>50.4</v>
      </c>
      <c r="M160">
        <v>91452.508000000002</v>
      </c>
      <c r="N160">
        <v>86.87988</v>
      </c>
    </row>
    <row r="161" spans="1:14" x14ac:dyDescent="0.2">
      <c r="A161" t="s">
        <v>753</v>
      </c>
      <c r="B161" t="s">
        <v>646</v>
      </c>
      <c r="C161" t="s">
        <v>109</v>
      </c>
      <c r="D161" t="s">
        <v>691</v>
      </c>
      <c r="E161" t="s">
        <v>692</v>
      </c>
      <c r="F161" t="s">
        <v>693</v>
      </c>
      <c r="G161" t="s">
        <v>431</v>
      </c>
      <c r="H161" t="s">
        <v>24</v>
      </c>
      <c r="I161">
        <v>14</v>
      </c>
      <c r="J161">
        <v>423.5</v>
      </c>
      <c r="K161">
        <v>40.700000000000003</v>
      </c>
      <c r="L161">
        <v>13.2</v>
      </c>
      <c r="M161">
        <v>2243.3609999999999</v>
      </c>
      <c r="N161">
        <v>2.1311900000000001</v>
      </c>
    </row>
    <row r="162" spans="1:14" x14ac:dyDescent="0.2">
      <c r="A162" t="s">
        <v>753</v>
      </c>
      <c r="B162" t="s">
        <v>646</v>
      </c>
      <c r="C162" t="s">
        <v>114</v>
      </c>
      <c r="D162" t="s">
        <v>694</v>
      </c>
      <c r="E162" t="s">
        <v>695</v>
      </c>
      <c r="F162" t="s">
        <v>696</v>
      </c>
      <c r="G162" t="s">
        <v>697</v>
      </c>
      <c r="H162" t="s">
        <v>24</v>
      </c>
      <c r="I162">
        <v>17</v>
      </c>
      <c r="J162">
        <v>514.29999999999995</v>
      </c>
      <c r="K162">
        <v>35.1</v>
      </c>
      <c r="L162">
        <v>18.600000000000001</v>
      </c>
      <c r="M162">
        <v>3835.1640000000002</v>
      </c>
      <c r="N162">
        <v>3.6434099999999998</v>
      </c>
    </row>
    <row r="163" spans="1:14" x14ac:dyDescent="0.2">
      <c r="A163" t="s">
        <v>753</v>
      </c>
      <c r="B163" t="s">
        <v>646</v>
      </c>
      <c r="C163" t="s">
        <v>119</v>
      </c>
      <c r="D163" t="s">
        <v>698</v>
      </c>
      <c r="E163" t="s">
        <v>699</v>
      </c>
      <c r="F163" t="s">
        <v>700</v>
      </c>
      <c r="G163" t="s">
        <v>701</v>
      </c>
      <c r="H163" t="s">
        <v>24</v>
      </c>
      <c r="I163">
        <v>71</v>
      </c>
      <c r="J163">
        <v>2147.8000000000002</v>
      </c>
      <c r="K163">
        <v>67.599999999999994</v>
      </c>
      <c r="L163">
        <v>40.5</v>
      </c>
      <c r="M163">
        <v>34752.495999999999</v>
      </c>
      <c r="N163">
        <v>33.014870000000002</v>
      </c>
    </row>
    <row r="164" spans="1:14" x14ac:dyDescent="0.2">
      <c r="A164" t="s">
        <v>753</v>
      </c>
      <c r="B164" t="s">
        <v>646</v>
      </c>
      <c r="C164" t="s">
        <v>124</v>
      </c>
      <c r="D164" t="s">
        <v>702</v>
      </c>
      <c r="E164" t="s">
        <v>703</v>
      </c>
      <c r="F164" t="s">
        <v>704</v>
      </c>
      <c r="G164" t="s">
        <v>705</v>
      </c>
      <c r="H164" t="s">
        <v>24</v>
      </c>
      <c r="I164">
        <v>28</v>
      </c>
      <c r="J164">
        <v>847</v>
      </c>
      <c r="K164">
        <v>39.6</v>
      </c>
      <c r="L164">
        <v>27.2</v>
      </c>
      <c r="M164">
        <v>9221.9159999999993</v>
      </c>
      <c r="N164">
        <v>8.7608200000000007</v>
      </c>
    </row>
    <row r="165" spans="1:14" x14ac:dyDescent="0.2">
      <c r="A165" t="s">
        <v>753</v>
      </c>
      <c r="B165" t="s">
        <v>646</v>
      </c>
      <c r="C165" t="s">
        <v>129</v>
      </c>
      <c r="D165" t="s">
        <v>706</v>
      </c>
      <c r="E165" t="s">
        <v>707</v>
      </c>
      <c r="F165" t="s">
        <v>708</v>
      </c>
      <c r="G165" t="s">
        <v>709</v>
      </c>
      <c r="H165" t="s">
        <v>24</v>
      </c>
      <c r="I165">
        <v>15</v>
      </c>
      <c r="J165">
        <v>453.8</v>
      </c>
      <c r="K165">
        <v>30.1</v>
      </c>
      <c r="L165">
        <v>19.2</v>
      </c>
      <c r="M165">
        <v>3484.0459999999998</v>
      </c>
      <c r="N165">
        <v>3.3098399999999999</v>
      </c>
    </row>
    <row r="166" spans="1:14" x14ac:dyDescent="0.2">
      <c r="A166" t="s">
        <v>753</v>
      </c>
      <c r="B166" t="s">
        <v>646</v>
      </c>
      <c r="C166" t="s">
        <v>134</v>
      </c>
      <c r="D166" t="s">
        <v>542</v>
      </c>
      <c r="E166" t="s">
        <v>710</v>
      </c>
      <c r="F166" t="s">
        <v>544</v>
      </c>
      <c r="G166" t="s">
        <v>711</v>
      </c>
      <c r="H166" t="s">
        <v>24</v>
      </c>
      <c r="I166">
        <v>12</v>
      </c>
      <c r="J166">
        <v>363</v>
      </c>
      <c r="K166">
        <v>25.3</v>
      </c>
      <c r="L166">
        <v>18.2</v>
      </c>
      <c r="M166">
        <v>2649.3490000000002</v>
      </c>
      <c r="N166">
        <v>2.51688</v>
      </c>
    </row>
    <row r="167" spans="1:14" x14ac:dyDescent="0.2">
      <c r="A167" t="s">
        <v>753</v>
      </c>
      <c r="B167" t="s">
        <v>646</v>
      </c>
      <c r="C167" t="s">
        <v>139</v>
      </c>
      <c r="D167" t="s">
        <v>712</v>
      </c>
      <c r="E167" t="s">
        <v>713</v>
      </c>
      <c r="F167" t="s">
        <v>714</v>
      </c>
      <c r="G167" t="s">
        <v>715</v>
      </c>
      <c r="H167" t="s">
        <v>41</v>
      </c>
      <c r="I167">
        <v>204</v>
      </c>
      <c r="J167">
        <v>6171</v>
      </c>
      <c r="K167">
        <v>243.4</v>
      </c>
      <c r="L167">
        <v>32.299999999999997</v>
      </c>
      <c r="M167">
        <v>79697.625</v>
      </c>
      <c r="N167">
        <v>75.712739999999997</v>
      </c>
    </row>
    <row r="168" spans="1:14" x14ac:dyDescent="0.2">
      <c r="A168" t="s">
        <v>753</v>
      </c>
      <c r="B168" t="s">
        <v>716</v>
      </c>
      <c r="C168" t="s">
        <v>12</v>
      </c>
      <c r="D168" t="s">
        <v>389</v>
      </c>
      <c r="E168" t="s">
        <v>717</v>
      </c>
      <c r="F168" t="s">
        <v>391</v>
      </c>
      <c r="G168" t="s">
        <v>718</v>
      </c>
      <c r="H168" t="s">
        <v>17</v>
      </c>
      <c r="I168">
        <v>98</v>
      </c>
      <c r="J168">
        <v>2964.5</v>
      </c>
      <c r="K168">
        <v>164.5</v>
      </c>
      <c r="L168">
        <v>22.9</v>
      </c>
      <c r="M168">
        <v>27213.353999999999</v>
      </c>
      <c r="N168">
        <v>37.554430000000004</v>
      </c>
    </row>
    <row r="169" spans="1:14" x14ac:dyDescent="0.2">
      <c r="A169" t="s">
        <v>753</v>
      </c>
      <c r="B169" t="s">
        <v>716</v>
      </c>
      <c r="C169" t="s">
        <v>19</v>
      </c>
      <c r="D169" t="s">
        <v>719</v>
      </c>
      <c r="E169" t="s">
        <v>720</v>
      </c>
      <c r="F169" t="s">
        <v>721</v>
      </c>
      <c r="G169" t="s">
        <v>722</v>
      </c>
      <c r="H169" t="s">
        <v>17</v>
      </c>
      <c r="I169">
        <v>256</v>
      </c>
      <c r="J169">
        <v>7744</v>
      </c>
      <c r="K169">
        <v>187.2</v>
      </c>
      <c r="L169">
        <v>52.7</v>
      </c>
      <c r="M169">
        <v>163184.234</v>
      </c>
      <c r="N169">
        <v>225.19425000000001</v>
      </c>
    </row>
    <row r="170" spans="1:14" x14ac:dyDescent="0.2">
      <c r="A170" t="s">
        <v>753</v>
      </c>
      <c r="B170" t="s">
        <v>716</v>
      </c>
      <c r="C170" t="s">
        <v>26</v>
      </c>
      <c r="D170" t="s">
        <v>723</v>
      </c>
      <c r="E170" t="s">
        <v>724</v>
      </c>
      <c r="F170" t="s">
        <v>725</v>
      </c>
      <c r="G170" t="s">
        <v>726</v>
      </c>
      <c r="H170" t="s">
        <v>17</v>
      </c>
      <c r="I170">
        <v>21</v>
      </c>
      <c r="J170">
        <v>635.29999999999995</v>
      </c>
      <c r="K170">
        <v>40.299999999999997</v>
      </c>
      <c r="L170">
        <v>20.100000000000001</v>
      </c>
      <c r="M170">
        <v>5101.7070000000003</v>
      </c>
      <c r="N170">
        <v>7.0403500000000001</v>
      </c>
    </row>
    <row r="171" spans="1:14" x14ac:dyDescent="0.2">
      <c r="A171" t="s">
        <v>753</v>
      </c>
      <c r="B171" t="s">
        <v>716</v>
      </c>
      <c r="C171" t="s">
        <v>31</v>
      </c>
      <c r="D171" t="s">
        <v>727</v>
      </c>
      <c r="E171" t="s">
        <v>728</v>
      </c>
      <c r="F171" t="s">
        <v>649</v>
      </c>
      <c r="G171" t="s">
        <v>729</v>
      </c>
      <c r="H171" t="s">
        <v>24</v>
      </c>
      <c r="I171">
        <v>54</v>
      </c>
      <c r="J171">
        <v>1633.5</v>
      </c>
      <c r="K171">
        <v>58.4</v>
      </c>
      <c r="L171">
        <v>35.6</v>
      </c>
      <c r="M171">
        <v>23288.400000000001</v>
      </c>
      <c r="N171">
        <v>22.12398</v>
      </c>
    </row>
    <row r="172" spans="1:14" x14ac:dyDescent="0.2">
      <c r="A172" t="s">
        <v>753</v>
      </c>
      <c r="B172" t="s">
        <v>716</v>
      </c>
      <c r="C172" t="s">
        <v>36</v>
      </c>
      <c r="D172" t="s">
        <v>730</v>
      </c>
      <c r="E172" t="s">
        <v>731</v>
      </c>
      <c r="F172" t="s">
        <v>732</v>
      </c>
      <c r="G172" t="s">
        <v>733</v>
      </c>
      <c r="H172" t="s">
        <v>24</v>
      </c>
      <c r="I172">
        <v>21</v>
      </c>
      <c r="J172">
        <v>635.29999999999995</v>
      </c>
      <c r="K172">
        <v>55.3</v>
      </c>
      <c r="L172">
        <v>14.6</v>
      </c>
      <c r="M172">
        <v>3716.1909999999998</v>
      </c>
      <c r="N172">
        <v>3.5303800000000001</v>
      </c>
    </row>
    <row r="173" spans="1:14" x14ac:dyDescent="0.2">
      <c r="A173" t="s">
        <v>753</v>
      </c>
      <c r="B173" t="s">
        <v>716</v>
      </c>
      <c r="C173" t="s">
        <v>42</v>
      </c>
      <c r="D173" t="s">
        <v>734</v>
      </c>
      <c r="E173" t="s">
        <v>735</v>
      </c>
      <c r="F173" t="s">
        <v>736</v>
      </c>
      <c r="G173" t="s">
        <v>737</v>
      </c>
      <c r="H173" t="s">
        <v>24</v>
      </c>
      <c r="I173">
        <v>37</v>
      </c>
      <c r="J173">
        <v>1119.3</v>
      </c>
      <c r="K173">
        <v>55.8</v>
      </c>
      <c r="L173">
        <v>25.6</v>
      </c>
      <c r="M173">
        <v>11442.8</v>
      </c>
      <c r="N173">
        <v>10.870660000000001</v>
      </c>
    </row>
    <row r="174" spans="1:14" x14ac:dyDescent="0.2">
      <c r="A174" t="s">
        <v>753</v>
      </c>
      <c r="B174" t="s">
        <v>716</v>
      </c>
      <c r="C174" t="s">
        <v>48</v>
      </c>
      <c r="D174" t="s">
        <v>22</v>
      </c>
      <c r="E174" t="s">
        <v>738</v>
      </c>
      <c r="F174" t="s">
        <v>739</v>
      </c>
      <c r="G174" t="s">
        <v>740</v>
      </c>
      <c r="H174" t="s">
        <v>24</v>
      </c>
      <c r="I174">
        <v>9</v>
      </c>
      <c r="J174">
        <v>272.3</v>
      </c>
      <c r="K174">
        <v>22.9</v>
      </c>
      <c r="L174">
        <v>15.1</v>
      </c>
      <c r="M174">
        <v>1648.9680000000001</v>
      </c>
      <c r="N174">
        <v>1.5665199999999999</v>
      </c>
    </row>
    <row r="175" spans="1:14" x14ac:dyDescent="0.2">
      <c r="A175" t="s">
        <v>753</v>
      </c>
      <c r="B175" t="s">
        <v>716</v>
      </c>
      <c r="C175" t="s">
        <v>84</v>
      </c>
      <c r="D175" t="s">
        <v>741</v>
      </c>
      <c r="E175" t="s">
        <v>742</v>
      </c>
      <c r="F175" t="s">
        <v>743</v>
      </c>
      <c r="G175" t="s">
        <v>744</v>
      </c>
      <c r="H175" t="s">
        <v>24</v>
      </c>
      <c r="I175">
        <v>24</v>
      </c>
      <c r="J175">
        <v>726</v>
      </c>
      <c r="K175">
        <v>42.4</v>
      </c>
      <c r="L175">
        <v>21.8</v>
      </c>
      <c r="M175">
        <v>6331.8050000000003</v>
      </c>
      <c r="N175">
        <v>6.0152099999999997</v>
      </c>
    </row>
    <row r="176" spans="1:14" x14ac:dyDescent="0.2">
      <c r="A176" t="s">
        <v>753</v>
      </c>
      <c r="B176" t="s">
        <v>716</v>
      </c>
      <c r="C176" t="s">
        <v>89</v>
      </c>
      <c r="D176" t="s">
        <v>745</v>
      </c>
      <c r="E176" t="s">
        <v>746</v>
      </c>
      <c r="F176" t="s">
        <v>747</v>
      </c>
      <c r="G176" t="s">
        <v>748</v>
      </c>
      <c r="H176" t="s">
        <v>24</v>
      </c>
      <c r="I176">
        <v>156</v>
      </c>
      <c r="J176">
        <v>4719</v>
      </c>
      <c r="K176">
        <v>145.1</v>
      </c>
      <c r="L176">
        <v>41.4</v>
      </c>
      <c r="M176">
        <v>78177.483999999997</v>
      </c>
      <c r="N176">
        <v>74.268609999999995</v>
      </c>
    </row>
    <row r="177" spans="1:14" x14ac:dyDescent="0.2">
      <c r="A177" t="s">
        <v>753</v>
      </c>
      <c r="B177" t="s">
        <v>716</v>
      </c>
      <c r="C177" t="s">
        <v>94</v>
      </c>
      <c r="D177" t="s">
        <v>749</v>
      </c>
      <c r="E177" t="s">
        <v>750</v>
      </c>
      <c r="F177" t="s">
        <v>751</v>
      </c>
      <c r="G177" t="s">
        <v>752</v>
      </c>
      <c r="H177" t="s">
        <v>24</v>
      </c>
      <c r="I177">
        <v>18</v>
      </c>
      <c r="J177">
        <v>544.5</v>
      </c>
      <c r="K177">
        <v>33.5</v>
      </c>
      <c r="L177">
        <v>20.7</v>
      </c>
      <c r="M177">
        <v>4501.3540000000003</v>
      </c>
      <c r="N177">
        <v>4.2762900000000004</v>
      </c>
    </row>
    <row r="178" spans="1:14" x14ac:dyDescent="0.2">
      <c r="A178" t="s">
        <v>767</v>
      </c>
      <c r="B178" t="s">
        <v>754</v>
      </c>
      <c r="C178" t="s">
        <v>12</v>
      </c>
      <c r="D178" t="s">
        <v>755</v>
      </c>
      <c r="E178" t="s">
        <v>756</v>
      </c>
      <c r="F178" t="s">
        <v>757</v>
      </c>
      <c r="G178" t="s">
        <v>758</v>
      </c>
      <c r="H178" t="s">
        <v>41</v>
      </c>
      <c r="I178">
        <v>181</v>
      </c>
      <c r="J178">
        <v>5475.3</v>
      </c>
      <c r="K178">
        <v>152.69999999999999</v>
      </c>
      <c r="L178">
        <v>45.7</v>
      </c>
      <c r="M178">
        <v>99984.07</v>
      </c>
      <c r="N178">
        <v>94.984870000000001</v>
      </c>
    </row>
    <row r="179" spans="1:14" x14ac:dyDescent="0.2">
      <c r="A179" t="s">
        <v>767</v>
      </c>
      <c r="B179" t="s">
        <v>759</v>
      </c>
      <c r="C179" t="s">
        <v>12</v>
      </c>
      <c r="D179" t="s">
        <v>760</v>
      </c>
      <c r="E179" t="s">
        <v>635</v>
      </c>
      <c r="F179" t="s">
        <v>761</v>
      </c>
      <c r="G179" t="s">
        <v>762</v>
      </c>
      <c r="H179" t="s">
        <v>17</v>
      </c>
      <c r="I179">
        <v>92</v>
      </c>
      <c r="J179">
        <v>2783</v>
      </c>
      <c r="K179">
        <v>119.6</v>
      </c>
      <c r="L179">
        <v>29.6</v>
      </c>
      <c r="M179">
        <v>32977.152000000002</v>
      </c>
      <c r="N179">
        <v>45.508470000000003</v>
      </c>
    </row>
    <row r="180" spans="1:14" x14ac:dyDescent="0.2">
      <c r="A180" t="s">
        <v>767</v>
      </c>
      <c r="B180" t="s">
        <v>759</v>
      </c>
      <c r="C180" t="s">
        <v>19</v>
      </c>
      <c r="D180" t="s">
        <v>763</v>
      </c>
      <c r="E180" t="s">
        <v>764</v>
      </c>
      <c r="F180" t="s">
        <v>765</v>
      </c>
      <c r="G180" t="s">
        <v>766</v>
      </c>
      <c r="H180" t="s">
        <v>24</v>
      </c>
      <c r="I180">
        <v>20</v>
      </c>
      <c r="J180">
        <v>605</v>
      </c>
      <c r="K180">
        <v>37.6</v>
      </c>
      <c r="L180">
        <v>20.5</v>
      </c>
      <c r="M180">
        <v>4961.7740000000003</v>
      </c>
      <c r="N180">
        <v>4.7136899999999997</v>
      </c>
    </row>
    <row r="181" spans="1:14" x14ac:dyDescent="0.2">
      <c r="A181" t="s">
        <v>768</v>
      </c>
      <c r="B181" t="s">
        <v>768</v>
      </c>
      <c r="C181" t="s">
        <v>12</v>
      </c>
      <c r="D181" t="s">
        <v>769</v>
      </c>
      <c r="E181" t="s">
        <v>770</v>
      </c>
      <c r="F181" t="s">
        <v>771</v>
      </c>
      <c r="G181" t="s">
        <v>772</v>
      </c>
      <c r="H181" t="s">
        <v>17</v>
      </c>
      <c r="I181">
        <v>51</v>
      </c>
      <c r="J181">
        <v>1542.8</v>
      </c>
      <c r="K181">
        <v>61.3</v>
      </c>
      <c r="L181">
        <v>32</v>
      </c>
      <c r="M181">
        <v>19770.096000000001</v>
      </c>
      <c r="N181">
        <v>27.282730000000001</v>
      </c>
    </row>
    <row r="182" spans="1:14" x14ac:dyDescent="0.2">
      <c r="A182" t="s">
        <v>768</v>
      </c>
      <c r="B182" t="s">
        <v>768</v>
      </c>
      <c r="C182" t="s">
        <v>19</v>
      </c>
      <c r="D182" t="s">
        <v>773</v>
      </c>
      <c r="E182" t="s">
        <v>774</v>
      </c>
      <c r="F182" t="s">
        <v>775</v>
      </c>
      <c r="G182" t="s">
        <v>776</v>
      </c>
      <c r="H182" t="s">
        <v>24</v>
      </c>
      <c r="I182">
        <v>43</v>
      </c>
      <c r="J182">
        <v>1300.8</v>
      </c>
      <c r="K182">
        <v>56.2</v>
      </c>
      <c r="L182">
        <v>29.5</v>
      </c>
      <c r="M182">
        <v>15330.755999999999</v>
      </c>
      <c r="N182">
        <v>14.564220000000001</v>
      </c>
    </row>
    <row r="183" spans="1:14" x14ac:dyDescent="0.2">
      <c r="A183" t="s">
        <v>768</v>
      </c>
      <c r="B183" t="s">
        <v>768</v>
      </c>
      <c r="C183" t="s">
        <v>26</v>
      </c>
      <c r="D183" t="s">
        <v>777</v>
      </c>
      <c r="E183" t="s">
        <v>778</v>
      </c>
      <c r="F183" t="s">
        <v>779</v>
      </c>
      <c r="G183" t="s">
        <v>780</v>
      </c>
      <c r="H183" t="s">
        <v>24</v>
      </c>
      <c r="I183">
        <v>69</v>
      </c>
      <c r="J183">
        <v>2087.3000000000002</v>
      </c>
      <c r="K183">
        <v>64.900000000000006</v>
      </c>
      <c r="L183">
        <v>41</v>
      </c>
      <c r="M183">
        <v>34206.921999999999</v>
      </c>
      <c r="N183">
        <v>32.496580000000002</v>
      </c>
    </row>
    <row r="184" spans="1:14" x14ac:dyDescent="0.2">
      <c r="A184" t="s">
        <v>768</v>
      </c>
      <c r="B184" t="s">
        <v>768</v>
      </c>
      <c r="C184" t="s">
        <v>31</v>
      </c>
      <c r="D184" t="s">
        <v>781</v>
      </c>
      <c r="E184" t="s">
        <v>782</v>
      </c>
      <c r="F184" t="s">
        <v>783</v>
      </c>
      <c r="G184" t="s">
        <v>784</v>
      </c>
      <c r="H184" t="s">
        <v>47</v>
      </c>
      <c r="I184">
        <v>94</v>
      </c>
      <c r="J184">
        <v>2843.5</v>
      </c>
      <c r="K184">
        <v>131.69999999999999</v>
      </c>
      <c r="L184">
        <v>27.5</v>
      </c>
      <c r="M184">
        <v>31267.73</v>
      </c>
      <c r="N184">
        <v>32.518439999999998</v>
      </c>
    </row>
    <row r="185" spans="1:14" x14ac:dyDescent="0.2">
      <c r="A185" t="s">
        <v>768</v>
      </c>
      <c r="B185" t="s">
        <v>768</v>
      </c>
      <c r="C185" t="s">
        <v>36</v>
      </c>
      <c r="D185" t="s">
        <v>340</v>
      </c>
      <c r="E185" t="s">
        <v>785</v>
      </c>
      <c r="F185" t="s">
        <v>342</v>
      </c>
      <c r="G185" t="s">
        <v>786</v>
      </c>
      <c r="H185" t="s">
        <v>41</v>
      </c>
      <c r="I185">
        <v>233</v>
      </c>
      <c r="J185">
        <v>7048.3</v>
      </c>
      <c r="K185">
        <v>166.4</v>
      </c>
      <c r="L185">
        <v>53.9</v>
      </c>
      <c r="M185">
        <v>152036.53099999999</v>
      </c>
      <c r="N185">
        <v>144.43469999999999</v>
      </c>
    </row>
    <row r="186" spans="1:14" x14ac:dyDescent="0.2">
      <c r="A186" t="s">
        <v>768</v>
      </c>
      <c r="B186" t="s">
        <v>768</v>
      </c>
      <c r="C186" t="s">
        <v>42</v>
      </c>
      <c r="D186" t="s">
        <v>299</v>
      </c>
      <c r="E186" t="s">
        <v>787</v>
      </c>
      <c r="F186" t="s">
        <v>301</v>
      </c>
      <c r="G186" t="s">
        <v>788</v>
      </c>
      <c r="H186" t="s">
        <v>41</v>
      </c>
      <c r="I186">
        <v>262</v>
      </c>
      <c r="J186">
        <v>7925.5</v>
      </c>
      <c r="K186">
        <v>204</v>
      </c>
      <c r="L186">
        <v>49.5</v>
      </c>
      <c r="M186">
        <v>156852.79699999999</v>
      </c>
      <c r="N186">
        <v>149.01016000000001</v>
      </c>
    </row>
    <row r="187" spans="1:14" x14ac:dyDescent="0.2">
      <c r="A187" t="s">
        <v>768</v>
      </c>
      <c r="B187" t="s">
        <v>768</v>
      </c>
      <c r="C187" t="s">
        <v>48</v>
      </c>
      <c r="D187" t="s">
        <v>789</v>
      </c>
      <c r="E187" t="s">
        <v>790</v>
      </c>
      <c r="F187" t="s">
        <v>791</v>
      </c>
      <c r="G187" t="s">
        <v>792</v>
      </c>
      <c r="H187" t="s">
        <v>41</v>
      </c>
      <c r="I187">
        <v>98</v>
      </c>
      <c r="J187">
        <v>2964.5</v>
      </c>
      <c r="K187">
        <v>102.3</v>
      </c>
      <c r="L187">
        <v>36.9</v>
      </c>
      <c r="M187">
        <v>43770.43</v>
      </c>
      <c r="N187">
        <v>41.581910000000001</v>
      </c>
    </row>
    <row r="188" spans="1:14" x14ac:dyDescent="0.2">
      <c r="A188" t="s">
        <v>815</v>
      </c>
      <c r="B188" t="s">
        <v>793</v>
      </c>
      <c r="C188" t="s">
        <v>12</v>
      </c>
      <c r="D188" t="s">
        <v>794</v>
      </c>
      <c r="E188" t="s">
        <v>795</v>
      </c>
      <c r="F188" t="s">
        <v>796</v>
      </c>
      <c r="G188" t="s">
        <v>797</v>
      </c>
      <c r="H188" t="s">
        <v>24</v>
      </c>
      <c r="I188">
        <v>26</v>
      </c>
      <c r="J188">
        <v>786.5</v>
      </c>
      <c r="K188">
        <v>41.6</v>
      </c>
      <c r="L188">
        <v>24.1</v>
      </c>
      <c r="M188">
        <v>7581.1009999999997</v>
      </c>
      <c r="N188">
        <v>7.2020499999999998</v>
      </c>
    </row>
    <row r="189" spans="1:14" x14ac:dyDescent="0.2">
      <c r="A189" t="s">
        <v>815</v>
      </c>
      <c r="B189" t="s">
        <v>793</v>
      </c>
      <c r="C189" t="s">
        <v>19</v>
      </c>
      <c r="D189" t="s">
        <v>798</v>
      </c>
      <c r="E189" t="s">
        <v>799</v>
      </c>
      <c r="F189" t="s">
        <v>800</v>
      </c>
      <c r="G189" t="s">
        <v>801</v>
      </c>
      <c r="H189" t="s">
        <v>41</v>
      </c>
      <c r="I189">
        <v>26</v>
      </c>
      <c r="J189">
        <v>786.5</v>
      </c>
      <c r="K189">
        <v>50.3</v>
      </c>
      <c r="L189">
        <v>19.899999999999999</v>
      </c>
      <c r="M189">
        <v>6257.241</v>
      </c>
      <c r="N189">
        <v>5.9443799999999998</v>
      </c>
    </row>
    <row r="190" spans="1:14" x14ac:dyDescent="0.2">
      <c r="A190" t="s">
        <v>815</v>
      </c>
      <c r="B190" t="s">
        <v>793</v>
      </c>
      <c r="C190" t="s">
        <v>26</v>
      </c>
      <c r="D190" t="s">
        <v>802</v>
      </c>
      <c r="E190" t="s">
        <v>803</v>
      </c>
      <c r="F190" t="s">
        <v>804</v>
      </c>
      <c r="G190" t="s">
        <v>805</v>
      </c>
      <c r="H190" t="s">
        <v>41</v>
      </c>
      <c r="I190">
        <v>10</v>
      </c>
      <c r="J190">
        <v>302.5</v>
      </c>
      <c r="K190">
        <v>22.9</v>
      </c>
      <c r="L190">
        <v>16.8</v>
      </c>
      <c r="M190">
        <v>2035.7629999999999</v>
      </c>
      <c r="N190">
        <v>1.93397</v>
      </c>
    </row>
    <row r="191" spans="1:14" x14ac:dyDescent="0.2">
      <c r="A191" t="s">
        <v>815</v>
      </c>
      <c r="B191" t="s">
        <v>806</v>
      </c>
      <c r="C191" t="s">
        <v>12</v>
      </c>
      <c r="D191" t="s">
        <v>807</v>
      </c>
      <c r="E191" t="s">
        <v>808</v>
      </c>
      <c r="F191" t="s">
        <v>809</v>
      </c>
      <c r="G191" t="s">
        <v>810</v>
      </c>
      <c r="H191" t="s">
        <v>17</v>
      </c>
      <c r="I191">
        <v>15</v>
      </c>
      <c r="J191">
        <v>453.8</v>
      </c>
      <c r="K191">
        <v>28.2</v>
      </c>
      <c r="L191">
        <v>20.5</v>
      </c>
      <c r="M191">
        <v>3721.4090000000001</v>
      </c>
      <c r="N191">
        <v>5.1355399999999998</v>
      </c>
    </row>
    <row r="192" spans="1:14" x14ac:dyDescent="0.2">
      <c r="A192" t="s">
        <v>815</v>
      </c>
      <c r="B192" t="s">
        <v>806</v>
      </c>
      <c r="C192" t="s">
        <v>19</v>
      </c>
      <c r="D192" t="s">
        <v>811</v>
      </c>
      <c r="E192" t="s">
        <v>812</v>
      </c>
      <c r="F192" t="s">
        <v>813</v>
      </c>
      <c r="G192" t="s">
        <v>814</v>
      </c>
      <c r="H192" t="s">
        <v>41</v>
      </c>
      <c r="I192">
        <v>125</v>
      </c>
      <c r="J192">
        <v>3781.3</v>
      </c>
      <c r="K192">
        <v>143.19999999999999</v>
      </c>
      <c r="L192">
        <v>33.6</v>
      </c>
      <c r="M192">
        <v>50856.813000000002</v>
      </c>
      <c r="N192">
        <v>48.313969999999998</v>
      </c>
    </row>
    <row r="193" spans="1:14" x14ac:dyDescent="0.2">
      <c r="A193" t="s">
        <v>816</v>
      </c>
      <c r="B193" t="s">
        <v>816</v>
      </c>
      <c r="C193" t="s">
        <v>12</v>
      </c>
      <c r="D193" t="s">
        <v>817</v>
      </c>
      <c r="E193" t="s">
        <v>818</v>
      </c>
      <c r="F193" t="s">
        <v>819</v>
      </c>
      <c r="G193" t="s">
        <v>820</v>
      </c>
      <c r="H193" t="s">
        <v>17</v>
      </c>
      <c r="I193">
        <v>90</v>
      </c>
      <c r="J193">
        <v>2722.5</v>
      </c>
      <c r="K193">
        <v>131.69999999999999</v>
      </c>
      <c r="L193">
        <v>26.3</v>
      </c>
      <c r="M193">
        <v>28663.266</v>
      </c>
      <c r="N193">
        <v>39.555300000000003</v>
      </c>
    </row>
    <row r="194" spans="1:14" x14ac:dyDescent="0.2">
      <c r="A194" t="s">
        <v>816</v>
      </c>
      <c r="B194" t="s">
        <v>816</v>
      </c>
      <c r="C194" t="s">
        <v>19</v>
      </c>
      <c r="D194" t="s">
        <v>821</v>
      </c>
      <c r="E194" t="s">
        <v>822</v>
      </c>
      <c r="F194" t="s">
        <v>823</v>
      </c>
      <c r="G194" t="s">
        <v>824</v>
      </c>
      <c r="H194" t="s">
        <v>24</v>
      </c>
      <c r="I194">
        <v>862</v>
      </c>
      <c r="J194">
        <v>26075.5</v>
      </c>
      <c r="K194">
        <v>288.3</v>
      </c>
      <c r="L194">
        <v>115.2</v>
      </c>
      <c r="M194">
        <v>1201206.375</v>
      </c>
      <c r="N194">
        <v>1141.146</v>
      </c>
    </row>
    <row r="195" spans="1:14" x14ac:dyDescent="0.2">
      <c r="A195" t="s">
        <v>816</v>
      </c>
      <c r="B195" t="s">
        <v>816</v>
      </c>
      <c r="C195" t="s">
        <v>26</v>
      </c>
      <c r="D195" t="s">
        <v>825</v>
      </c>
      <c r="E195" t="s">
        <v>826</v>
      </c>
      <c r="F195" t="s">
        <v>827</v>
      </c>
      <c r="G195" t="s">
        <v>828</v>
      </c>
      <c r="H195" t="s">
        <v>24</v>
      </c>
      <c r="I195">
        <v>1302</v>
      </c>
      <c r="J195">
        <v>39385.5</v>
      </c>
      <c r="K195">
        <v>359.7</v>
      </c>
      <c r="L195">
        <v>139.4</v>
      </c>
      <c r="M195">
        <v>2196452.25</v>
      </c>
      <c r="N195">
        <v>2086.6296299999999</v>
      </c>
    </row>
    <row r="196" spans="1:14" x14ac:dyDescent="0.2">
      <c r="A196" t="s">
        <v>816</v>
      </c>
      <c r="B196" t="s">
        <v>816</v>
      </c>
      <c r="C196" t="s">
        <v>31</v>
      </c>
      <c r="D196" t="s">
        <v>829</v>
      </c>
      <c r="E196" t="s">
        <v>830</v>
      </c>
      <c r="F196" t="s">
        <v>831</v>
      </c>
      <c r="G196" t="s">
        <v>832</v>
      </c>
      <c r="H196" t="s">
        <v>24</v>
      </c>
      <c r="I196">
        <v>118</v>
      </c>
      <c r="J196">
        <v>3569.5</v>
      </c>
      <c r="K196">
        <v>107</v>
      </c>
      <c r="L196">
        <v>42.5</v>
      </c>
      <c r="M196">
        <v>60617.601999999999</v>
      </c>
      <c r="N196">
        <v>57.58672</v>
      </c>
    </row>
    <row r="197" spans="1:14" x14ac:dyDescent="0.2">
      <c r="A197" t="s">
        <v>816</v>
      </c>
      <c r="B197" t="s">
        <v>816</v>
      </c>
      <c r="C197" t="s">
        <v>36</v>
      </c>
      <c r="D197" t="s">
        <v>833</v>
      </c>
      <c r="E197" t="s">
        <v>518</v>
      </c>
      <c r="F197" t="s">
        <v>834</v>
      </c>
      <c r="G197" t="s">
        <v>520</v>
      </c>
      <c r="H197" t="s">
        <v>24</v>
      </c>
      <c r="I197">
        <v>14</v>
      </c>
      <c r="J197">
        <v>423.5</v>
      </c>
      <c r="K197">
        <v>36.6</v>
      </c>
      <c r="L197">
        <v>14.7</v>
      </c>
      <c r="M197">
        <v>2494.8539999999998</v>
      </c>
      <c r="N197">
        <v>2.3701099999999999</v>
      </c>
    </row>
    <row r="198" spans="1:14" x14ac:dyDescent="0.2">
      <c r="A198" t="s">
        <v>816</v>
      </c>
      <c r="B198" t="s">
        <v>816</v>
      </c>
      <c r="C198" t="s">
        <v>42</v>
      </c>
      <c r="D198" t="s">
        <v>835</v>
      </c>
      <c r="E198" t="s">
        <v>836</v>
      </c>
      <c r="F198" t="s">
        <v>837</v>
      </c>
      <c r="G198" t="s">
        <v>838</v>
      </c>
      <c r="H198" t="s">
        <v>24</v>
      </c>
      <c r="I198">
        <v>22</v>
      </c>
      <c r="J198">
        <v>665.5</v>
      </c>
      <c r="K198">
        <v>38.5</v>
      </c>
      <c r="L198">
        <v>22</v>
      </c>
      <c r="M198">
        <v>5858.7569999999996</v>
      </c>
      <c r="N198">
        <v>5.5658200000000004</v>
      </c>
    </row>
    <row r="199" spans="1:14" x14ac:dyDescent="0.2">
      <c r="A199" t="s">
        <v>816</v>
      </c>
      <c r="B199" t="s">
        <v>816</v>
      </c>
      <c r="C199" t="s">
        <v>48</v>
      </c>
      <c r="D199" t="s">
        <v>839</v>
      </c>
      <c r="E199" t="s">
        <v>840</v>
      </c>
      <c r="F199" t="s">
        <v>841</v>
      </c>
      <c r="G199" t="s">
        <v>842</v>
      </c>
      <c r="H199" t="s">
        <v>24</v>
      </c>
      <c r="I199">
        <v>41</v>
      </c>
      <c r="J199">
        <v>1240.3</v>
      </c>
      <c r="K199">
        <v>55.8</v>
      </c>
      <c r="L199">
        <v>28.3</v>
      </c>
      <c r="M199">
        <v>14050.653</v>
      </c>
      <c r="N199">
        <v>13.34812</v>
      </c>
    </row>
    <row r="200" spans="1:14" x14ac:dyDescent="0.2">
      <c r="A200" t="s">
        <v>816</v>
      </c>
      <c r="B200" t="s">
        <v>816</v>
      </c>
      <c r="C200" t="s">
        <v>84</v>
      </c>
      <c r="D200" t="s">
        <v>843</v>
      </c>
      <c r="E200" t="s">
        <v>844</v>
      </c>
      <c r="F200" t="s">
        <v>845</v>
      </c>
      <c r="G200" t="s">
        <v>846</v>
      </c>
      <c r="H200" t="s">
        <v>24</v>
      </c>
      <c r="I200">
        <v>109</v>
      </c>
      <c r="J200">
        <v>3297.3</v>
      </c>
      <c r="K200">
        <v>147.4</v>
      </c>
      <c r="L200">
        <v>28.5</v>
      </c>
      <c r="M200">
        <v>37573.108999999997</v>
      </c>
      <c r="N200">
        <v>35.694450000000003</v>
      </c>
    </row>
    <row r="201" spans="1:14" x14ac:dyDescent="0.2">
      <c r="A201" t="s">
        <v>847</v>
      </c>
      <c r="B201" t="s">
        <v>847</v>
      </c>
      <c r="C201" t="s">
        <v>12</v>
      </c>
      <c r="D201" t="s">
        <v>848</v>
      </c>
      <c r="E201" t="s">
        <v>849</v>
      </c>
      <c r="F201" t="s">
        <v>850</v>
      </c>
      <c r="G201" t="s">
        <v>851</v>
      </c>
      <c r="H201" t="s">
        <v>24</v>
      </c>
      <c r="I201">
        <v>18</v>
      </c>
      <c r="J201">
        <v>544.5</v>
      </c>
      <c r="K201">
        <v>37.6</v>
      </c>
      <c r="L201">
        <v>18.5</v>
      </c>
      <c r="M201">
        <v>4019.0369999999998</v>
      </c>
      <c r="N201">
        <v>3.8180800000000001</v>
      </c>
    </row>
    <row r="202" spans="1:14" x14ac:dyDescent="0.2">
      <c r="A202" t="s">
        <v>847</v>
      </c>
      <c r="B202" t="s">
        <v>847</v>
      </c>
      <c r="C202" t="s">
        <v>19</v>
      </c>
      <c r="D202" t="s">
        <v>852</v>
      </c>
      <c r="E202" t="s">
        <v>853</v>
      </c>
      <c r="F202" t="s">
        <v>854</v>
      </c>
      <c r="G202" t="s">
        <v>855</v>
      </c>
      <c r="H202" t="s">
        <v>24</v>
      </c>
      <c r="I202">
        <v>63</v>
      </c>
      <c r="J202">
        <v>1905.8</v>
      </c>
      <c r="K202">
        <v>71.599999999999994</v>
      </c>
      <c r="L202">
        <v>33.9</v>
      </c>
      <c r="M202">
        <v>25828.65</v>
      </c>
      <c r="N202">
        <v>24.537220000000001</v>
      </c>
    </row>
    <row r="203" spans="1:14" x14ac:dyDescent="0.2">
      <c r="A203" t="s">
        <v>847</v>
      </c>
      <c r="B203" t="s">
        <v>847</v>
      </c>
      <c r="C203" t="s">
        <v>26</v>
      </c>
      <c r="D203" t="s">
        <v>856</v>
      </c>
      <c r="E203" t="s">
        <v>121</v>
      </c>
      <c r="F203" t="s">
        <v>857</v>
      </c>
      <c r="G203" t="s">
        <v>123</v>
      </c>
      <c r="H203" t="s">
        <v>24</v>
      </c>
      <c r="I203">
        <v>36</v>
      </c>
      <c r="J203">
        <v>1089</v>
      </c>
      <c r="K203">
        <v>101.4</v>
      </c>
      <c r="L203">
        <v>13.7</v>
      </c>
      <c r="M203">
        <v>5953.902</v>
      </c>
      <c r="N203">
        <v>5.6562099999999997</v>
      </c>
    </row>
    <row r="204" spans="1:14" x14ac:dyDescent="0.2">
      <c r="A204" t="s">
        <v>847</v>
      </c>
      <c r="B204" t="s">
        <v>847</v>
      </c>
      <c r="C204" t="s">
        <v>31</v>
      </c>
      <c r="D204" t="s">
        <v>858</v>
      </c>
      <c r="E204" t="s">
        <v>859</v>
      </c>
      <c r="F204" t="s">
        <v>860</v>
      </c>
      <c r="G204" t="s">
        <v>861</v>
      </c>
      <c r="H204" t="s">
        <v>24</v>
      </c>
      <c r="I204">
        <v>81</v>
      </c>
      <c r="J204">
        <v>2450.3000000000002</v>
      </c>
      <c r="K204">
        <v>95.4</v>
      </c>
      <c r="L204">
        <v>32.700000000000003</v>
      </c>
      <c r="M204">
        <v>32034.879000000001</v>
      </c>
      <c r="N204">
        <v>30.433129999999998</v>
      </c>
    </row>
    <row r="205" spans="1:14" x14ac:dyDescent="0.2">
      <c r="A205" t="s">
        <v>847</v>
      </c>
      <c r="B205" t="s">
        <v>847</v>
      </c>
      <c r="C205" t="s">
        <v>36</v>
      </c>
      <c r="D205" t="s">
        <v>862</v>
      </c>
      <c r="E205" t="s">
        <v>863</v>
      </c>
      <c r="F205" t="s">
        <v>864</v>
      </c>
      <c r="G205" t="s">
        <v>865</v>
      </c>
      <c r="H205" t="s">
        <v>24</v>
      </c>
      <c r="I205">
        <v>85</v>
      </c>
      <c r="J205">
        <v>2571.3000000000002</v>
      </c>
      <c r="K205">
        <v>72.7</v>
      </c>
      <c r="L205">
        <v>45</v>
      </c>
      <c r="M205">
        <v>46287.27</v>
      </c>
      <c r="N205">
        <v>43.972909999999999</v>
      </c>
    </row>
    <row r="206" spans="1:14" x14ac:dyDescent="0.2">
      <c r="A206" t="s">
        <v>847</v>
      </c>
      <c r="B206" t="s">
        <v>847</v>
      </c>
      <c r="C206" t="s">
        <v>42</v>
      </c>
      <c r="D206" t="s">
        <v>866</v>
      </c>
      <c r="E206" t="s">
        <v>867</v>
      </c>
      <c r="F206" t="s">
        <v>868</v>
      </c>
      <c r="G206" t="s">
        <v>869</v>
      </c>
      <c r="H206" t="s">
        <v>24</v>
      </c>
      <c r="I206">
        <v>50</v>
      </c>
      <c r="J206">
        <v>1512.5</v>
      </c>
      <c r="K206">
        <v>69.2</v>
      </c>
      <c r="L206">
        <v>27.8</v>
      </c>
      <c r="M206">
        <v>16825.447</v>
      </c>
      <c r="N206">
        <v>15.984170000000001</v>
      </c>
    </row>
    <row r="207" spans="1:14" x14ac:dyDescent="0.2">
      <c r="A207" t="s">
        <v>847</v>
      </c>
      <c r="B207" t="s">
        <v>847</v>
      </c>
      <c r="C207" t="s">
        <v>48</v>
      </c>
      <c r="D207" t="s">
        <v>237</v>
      </c>
      <c r="E207" t="s">
        <v>870</v>
      </c>
      <c r="F207" t="s">
        <v>239</v>
      </c>
      <c r="G207" t="s">
        <v>871</v>
      </c>
      <c r="H207" t="s">
        <v>24</v>
      </c>
      <c r="I207">
        <v>174</v>
      </c>
      <c r="J207">
        <v>5263.5</v>
      </c>
      <c r="K207">
        <v>114.2</v>
      </c>
      <c r="L207">
        <v>58.7</v>
      </c>
      <c r="M207">
        <v>123595.57799999999</v>
      </c>
      <c r="N207">
        <v>117.4158</v>
      </c>
    </row>
    <row r="208" spans="1:14" x14ac:dyDescent="0.2">
      <c r="A208" t="s">
        <v>847</v>
      </c>
      <c r="B208" t="s">
        <v>847</v>
      </c>
      <c r="C208" t="s">
        <v>84</v>
      </c>
      <c r="D208" t="s">
        <v>872</v>
      </c>
      <c r="E208" t="s">
        <v>873</v>
      </c>
      <c r="F208" t="s">
        <v>874</v>
      </c>
      <c r="G208" t="s">
        <v>875</v>
      </c>
      <c r="H208" t="s">
        <v>24</v>
      </c>
      <c r="I208">
        <v>14</v>
      </c>
      <c r="J208">
        <v>423.5</v>
      </c>
      <c r="K208">
        <v>25.3</v>
      </c>
      <c r="L208">
        <v>21.3</v>
      </c>
      <c r="M208">
        <v>3606.058</v>
      </c>
      <c r="N208">
        <v>3.4257499999999999</v>
      </c>
    </row>
    <row r="209" spans="1:14" x14ac:dyDescent="0.2">
      <c r="A209" t="s">
        <v>847</v>
      </c>
      <c r="B209" t="s">
        <v>847</v>
      </c>
      <c r="C209" t="s">
        <v>89</v>
      </c>
      <c r="D209" t="s">
        <v>876</v>
      </c>
      <c r="E209" t="s">
        <v>877</v>
      </c>
      <c r="F209" t="s">
        <v>878</v>
      </c>
      <c r="G209" t="s">
        <v>879</v>
      </c>
      <c r="H209" t="s">
        <v>24</v>
      </c>
      <c r="I209">
        <v>370</v>
      </c>
      <c r="J209">
        <v>11192.5</v>
      </c>
      <c r="K209">
        <v>149</v>
      </c>
      <c r="L209">
        <v>95.6</v>
      </c>
      <c r="M209">
        <v>428189.78100000002</v>
      </c>
      <c r="N209">
        <v>406.78028</v>
      </c>
    </row>
    <row r="210" spans="1:14" x14ac:dyDescent="0.2">
      <c r="A210" t="s">
        <v>847</v>
      </c>
      <c r="B210" t="s">
        <v>847</v>
      </c>
      <c r="C210" t="s">
        <v>94</v>
      </c>
      <c r="D210" t="s">
        <v>880</v>
      </c>
      <c r="E210" t="s">
        <v>881</v>
      </c>
      <c r="F210" t="s">
        <v>882</v>
      </c>
      <c r="G210" t="s">
        <v>883</v>
      </c>
      <c r="H210" t="s">
        <v>24</v>
      </c>
      <c r="I210">
        <v>53</v>
      </c>
      <c r="J210">
        <v>1603.3</v>
      </c>
      <c r="K210">
        <v>53.8</v>
      </c>
      <c r="L210">
        <v>38</v>
      </c>
      <c r="M210">
        <v>24353.914000000001</v>
      </c>
      <c r="N210">
        <v>23.136220000000002</v>
      </c>
    </row>
    <row r="211" spans="1:14" x14ac:dyDescent="0.2">
      <c r="A211" t="s">
        <v>847</v>
      </c>
      <c r="B211" t="s">
        <v>847</v>
      </c>
      <c r="C211" t="s">
        <v>99</v>
      </c>
      <c r="D211" t="s">
        <v>884</v>
      </c>
      <c r="E211" t="s">
        <v>885</v>
      </c>
      <c r="F211" t="s">
        <v>886</v>
      </c>
      <c r="G211" t="s">
        <v>887</v>
      </c>
      <c r="H211" t="s">
        <v>24</v>
      </c>
      <c r="I211">
        <v>37</v>
      </c>
      <c r="J211">
        <v>1119.3</v>
      </c>
      <c r="K211">
        <v>52.8</v>
      </c>
      <c r="L211">
        <v>27</v>
      </c>
      <c r="M211">
        <v>12080.508</v>
      </c>
      <c r="N211">
        <v>11.47648</v>
      </c>
    </row>
    <row r="212" spans="1:14" x14ac:dyDescent="0.2">
      <c r="A212" t="s">
        <v>847</v>
      </c>
      <c r="B212" t="s">
        <v>847</v>
      </c>
      <c r="C212" t="s">
        <v>104</v>
      </c>
      <c r="D212" t="s">
        <v>229</v>
      </c>
      <c r="E212" t="s">
        <v>390</v>
      </c>
      <c r="F212" t="s">
        <v>231</v>
      </c>
      <c r="G212" t="s">
        <v>392</v>
      </c>
      <c r="H212" t="s">
        <v>24</v>
      </c>
      <c r="I212">
        <v>25</v>
      </c>
      <c r="J212">
        <v>756.3</v>
      </c>
      <c r="K212">
        <v>61.6</v>
      </c>
      <c r="L212">
        <v>15.6</v>
      </c>
      <c r="M212">
        <v>4729.2929999999997</v>
      </c>
      <c r="N212">
        <v>4.4928299999999997</v>
      </c>
    </row>
    <row r="213" spans="1:14" x14ac:dyDescent="0.2">
      <c r="A213" t="s">
        <v>847</v>
      </c>
      <c r="B213" t="s">
        <v>847</v>
      </c>
      <c r="C213" t="s">
        <v>109</v>
      </c>
      <c r="D213" t="s">
        <v>888</v>
      </c>
      <c r="E213" t="s">
        <v>205</v>
      </c>
      <c r="F213" t="s">
        <v>889</v>
      </c>
      <c r="G213" t="s">
        <v>207</v>
      </c>
      <c r="H213" t="s">
        <v>24</v>
      </c>
      <c r="I213">
        <v>114</v>
      </c>
      <c r="J213">
        <v>3448.5</v>
      </c>
      <c r="K213">
        <v>100.1</v>
      </c>
      <c r="L213">
        <v>43.9</v>
      </c>
      <c r="M213">
        <v>60493.68</v>
      </c>
      <c r="N213">
        <v>57.469000000000001</v>
      </c>
    </row>
    <row r="214" spans="1:14" x14ac:dyDescent="0.2">
      <c r="A214" t="s">
        <v>847</v>
      </c>
      <c r="B214" t="s">
        <v>847</v>
      </c>
      <c r="C214" t="s">
        <v>114</v>
      </c>
      <c r="D214" t="s">
        <v>890</v>
      </c>
      <c r="E214" t="s">
        <v>891</v>
      </c>
      <c r="F214" t="s">
        <v>892</v>
      </c>
      <c r="G214" t="s">
        <v>893</v>
      </c>
      <c r="H214" t="s">
        <v>24</v>
      </c>
      <c r="I214">
        <v>39</v>
      </c>
      <c r="J214">
        <v>1179.8</v>
      </c>
      <c r="K214">
        <v>50.3</v>
      </c>
      <c r="L214">
        <v>29.8</v>
      </c>
      <c r="M214">
        <v>14078.793</v>
      </c>
      <c r="N214">
        <v>13.37485</v>
      </c>
    </row>
    <row r="215" spans="1:14" x14ac:dyDescent="0.2">
      <c r="A215" t="s">
        <v>847</v>
      </c>
      <c r="B215" t="s">
        <v>847</v>
      </c>
      <c r="C215" t="s">
        <v>119</v>
      </c>
      <c r="D215" t="s">
        <v>894</v>
      </c>
      <c r="E215" t="s">
        <v>895</v>
      </c>
      <c r="F215" t="s">
        <v>896</v>
      </c>
      <c r="G215" t="s">
        <v>897</v>
      </c>
      <c r="H215" t="s">
        <v>24</v>
      </c>
      <c r="I215">
        <v>110</v>
      </c>
      <c r="J215">
        <v>3327.5</v>
      </c>
      <c r="K215">
        <v>127.9</v>
      </c>
      <c r="L215">
        <v>33.1</v>
      </c>
      <c r="M215">
        <v>44086.866999999998</v>
      </c>
      <c r="N215">
        <v>41.88252</v>
      </c>
    </row>
    <row r="216" spans="1:14" x14ac:dyDescent="0.2">
      <c r="A216" t="s">
        <v>847</v>
      </c>
      <c r="B216" t="s">
        <v>847</v>
      </c>
      <c r="C216" t="s">
        <v>124</v>
      </c>
      <c r="D216" t="s">
        <v>898</v>
      </c>
      <c r="E216" t="s">
        <v>899</v>
      </c>
      <c r="F216" t="s">
        <v>900</v>
      </c>
      <c r="G216" t="s">
        <v>901</v>
      </c>
      <c r="H216" t="s">
        <v>24</v>
      </c>
      <c r="I216">
        <v>20</v>
      </c>
      <c r="J216">
        <v>605</v>
      </c>
      <c r="K216">
        <v>42.4</v>
      </c>
      <c r="L216">
        <v>18.2</v>
      </c>
      <c r="M216">
        <v>4397.0860000000002</v>
      </c>
      <c r="N216">
        <v>4.1772299999999998</v>
      </c>
    </row>
    <row r="217" spans="1:14" x14ac:dyDescent="0.2">
      <c r="A217" t="s">
        <v>847</v>
      </c>
      <c r="B217" t="s">
        <v>847</v>
      </c>
      <c r="C217" t="s">
        <v>129</v>
      </c>
      <c r="D217" t="s">
        <v>902</v>
      </c>
      <c r="E217" t="s">
        <v>822</v>
      </c>
      <c r="F217" t="s">
        <v>903</v>
      </c>
      <c r="G217" t="s">
        <v>824</v>
      </c>
      <c r="H217" t="s">
        <v>24</v>
      </c>
      <c r="I217">
        <v>15</v>
      </c>
      <c r="J217">
        <v>453.8</v>
      </c>
      <c r="K217">
        <v>42.4</v>
      </c>
      <c r="L217">
        <v>13.6</v>
      </c>
      <c r="M217">
        <v>2473.3609999999999</v>
      </c>
      <c r="N217">
        <v>2.3496899999999998</v>
      </c>
    </row>
    <row r="218" spans="1:14" x14ac:dyDescent="0.2">
      <c r="A218" t="s">
        <v>847</v>
      </c>
      <c r="B218" t="s">
        <v>847</v>
      </c>
      <c r="C218" t="s">
        <v>134</v>
      </c>
      <c r="D218" t="s">
        <v>904</v>
      </c>
      <c r="E218" t="s">
        <v>905</v>
      </c>
      <c r="F218" t="s">
        <v>906</v>
      </c>
      <c r="G218" t="s">
        <v>907</v>
      </c>
      <c r="H218" t="s">
        <v>24</v>
      </c>
      <c r="I218">
        <v>39</v>
      </c>
      <c r="J218">
        <v>1179.8</v>
      </c>
      <c r="K218">
        <v>58.9</v>
      </c>
      <c r="L218">
        <v>25.5</v>
      </c>
      <c r="M218">
        <v>12025.816000000001</v>
      </c>
      <c r="N218">
        <v>11.424530000000001</v>
      </c>
    </row>
    <row r="219" spans="1:14" x14ac:dyDescent="0.2">
      <c r="A219" t="s">
        <v>847</v>
      </c>
      <c r="B219" t="s">
        <v>847</v>
      </c>
      <c r="C219" t="s">
        <v>139</v>
      </c>
      <c r="D219" t="s">
        <v>908</v>
      </c>
      <c r="E219" t="s">
        <v>909</v>
      </c>
      <c r="F219" t="s">
        <v>910</v>
      </c>
      <c r="G219" t="s">
        <v>911</v>
      </c>
      <c r="H219" t="s">
        <v>24</v>
      </c>
      <c r="I219">
        <v>25</v>
      </c>
      <c r="J219">
        <v>756.3</v>
      </c>
      <c r="K219">
        <v>40.299999999999997</v>
      </c>
      <c r="L219">
        <v>23.9</v>
      </c>
      <c r="M219">
        <v>7230.3109999999997</v>
      </c>
      <c r="N219">
        <v>6.8688000000000002</v>
      </c>
    </row>
    <row r="220" spans="1:14" x14ac:dyDescent="0.2">
      <c r="A220" t="s">
        <v>847</v>
      </c>
      <c r="B220" t="s">
        <v>847</v>
      </c>
      <c r="C220" t="s">
        <v>144</v>
      </c>
      <c r="D220" t="s">
        <v>912</v>
      </c>
      <c r="E220" t="s">
        <v>913</v>
      </c>
      <c r="F220" t="s">
        <v>914</v>
      </c>
      <c r="G220" t="s">
        <v>915</v>
      </c>
      <c r="H220" t="s">
        <v>24</v>
      </c>
      <c r="I220">
        <v>9</v>
      </c>
      <c r="J220">
        <v>272.3</v>
      </c>
      <c r="K220">
        <v>25.3</v>
      </c>
      <c r="L220">
        <v>13.7</v>
      </c>
      <c r="M220">
        <v>1490.258</v>
      </c>
      <c r="N220">
        <v>1.4157500000000001</v>
      </c>
    </row>
    <row r="221" spans="1:14" x14ac:dyDescent="0.2">
      <c r="A221" t="s">
        <v>847</v>
      </c>
      <c r="B221" t="s">
        <v>847</v>
      </c>
      <c r="C221" t="s">
        <v>149</v>
      </c>
      <c r="D221" t="s">
        <v>916</v>
      </c>
      <c r="E221" t="s">
        <v>917</v>
      </c>
      <c r="F221" t="s">
        <v>918</v>
      </c>
      <c r="G221" t="s">
        <v>919</v>
      </c>
      <c r="H221" t="s">
        <v>24</v>
      </c>
      <c r="I221">
        <v>7</v>
      </c>
      <c r="J221">
        <v>211.8</v>
      </c>
      <c r="K221">
        <v>22.9</v>
      </c>
      <c r="L221">
        <v>11.8</v>
      </c>
      <c r="M221">
        <v>997.524</v>
      </c>
      <c r="N221">
        <v>0.94764999999999999</v>
      </c>
    </row>
    <row r="222" spans="1:14" x14ac:dyDescent="0.2">
      <c r="A222" t="s">
        <v>847</v>
      </c>
      <c r="B222" t="s">
        <v>847</v>
      </c>
      <c r="C222" t="s">
        <v>154</v>
      </c>
      <c r="D222" t="s">
        <v>920</v>
      </c>
      <c r="E222" t="s">
        <v>921</v>
      </c>
      <c r="F222" t="s">
        <v>922</v>
      </c>
      <c r="G222" t="s">
        <v>923</v>
      </c>
      <c r="H222" t="s">
        <v>24</v>
      </c>
      <c r="I222">
        <v>27</v>
      </c>
      <c r="J222">
        <v>816.8</v>
      </c>
      <c r="K222">
        <v>39.6</v>
      </c>
      <c r="L222">
        <v>26.2</v>
      </c>
      <c r="M222">
        <v>8574.9689999999991</v>
      </c>
      <c r="N222">
        <v>8.1462199999999996</v>
      </c>
    </row>
    <row r="223" spans="1:14" x14ac:dyDescent="0.2">
      <c r="A223" t="s">
        <v>847</v>
      </c>
      <c r="B223" t="s">
        <v>847</v>
      </c>
      <c r="C223" t="s">
        <v>159</v>
      </c>
      <c r="D223" t="s">
        <v>698</v>
      </c>
      <c r="E223" t="s">
        <v>924</v>
      </c>
      <c r="F223" t="s">
        <v>700</v>
      </c>
      <c r="G223" t="s">
        <v>925</v>
      </c>
      <c r="H223" t="s">
        <v>24</v>
      </c>
      <c r="I223">
        <v>18</v>
      </c>
      <c r="J223">
        <v>544.5</v>
      </c>
      <c r="K223">
        <v>35.1</v>
      </c>
      <c r="L223">
        <v>19.7</v>
      </c>
      <c r="M223">
        <v>4299.63</v>
      </c>
      <c r="N223">
        <v>4.0846499999999999</v>
      </c>
    </row>
    <row r="224" spans="1:14" x14ac:dyDescent="0.2">
      <c r="A224" t="s">
        <v>847</v>
      </c>
      <c r="B224" t="s">
        <v>847</v>
      </c>
      <c r="C224" t="s">
        <v>478</v>
      </c>
      <c r="D224" t="s">
        <v>926</v>
      </c>
      <c r="E224" t="s">
        <v>927</v>
      </c>
      <c r="F224" t="s">
        <v>928</v>
      </c>
      <c r="G224" t="s">
        <v>929</v>
      </c>
      <c r="H224" t="s">
        <v>24</v>
      </c>
      <c r="I224">
        <v>26</v>
      </c>
      <c r="J224">
        <v>786.5</v>
      </c>
      <c r="K224">
        <v>46.5</v>
      </c>
      <c r="L224">
        <v>21.6</v>
      </c>
      <c r="M224">
        <v>6780.3789999999999</v>
      </c>
      <c r="N224">
        <v>6.4413600000000004</v>
      </c>
    </row>
    <row r="225" spans="1:14" x14ac:dyDescent="0.2">
      <c r="A225" t="s">
        <v>847</v>
      </c>
      <c r="B225" t="s">
        <v>847</v>
      </c>
      <c r="C225" t="s">
        <v>483</v>
      </c>
      <c r="D225" t="s">
        <v>930</v>
      </c>
      <c r="E225" t="s">
        <v>931</v>
      </c>
      <c r="F225" t="s">
        <v>932</v>
      </c>
      <c r="G225" t="s">
        <v>933</v>
      </c>
      <c r="H225" t="s">
        <v>24</v>
      </c>
      <c r="I225">
        <v>23</v>
      </c>
      <c r="J225">
        <v>695.8</v>
      </c>
      <c r="K225">
        <v>36.6</v>
      </c>
      <c r="L225">
        <v>24.2</v>
      </c>
      <c r="M225">
        <v>6733.5609999999997</v>
      </c>
      <c r="N225">
        <v>6.3968800000000003</v>
      </c>
    </row>
    <row r="226" spans="1:14" x14ac:dyDescent="0.2">
      <c r="A226" t="s">
        <v>847</v>
      </c>
      <c r="B226" t="s">
        <v>847</v>
      </c>
      <c r="C226" t="s">
        <v>488</v>
      </c>
      <c r="D226" t="s">
        <v>273</v>
      </c>
      <c r="E226" t="s">
        <v>934</v>
      </c>
      <c r="F226" t="s">
        <v>275</v>
      </c>
      <c r="G226" t="s">
        <v>935</v>
      </c>
      <c r="H226" t="s">
        <v>24</v>
      </c>
      <c r="I226">
        <v>65</v>
      </c>
      <c r="J226">
        <v>1966.3</v>
      </c>
      <c r="K226">
        <v>60.2</v>
      </c>
      <c r="L226">
        <v>41.6</v>
      </c>
      <c r="M226">
        <v>32694.960999999999</v>
      </c>
      <c r="N226">
        <v>31.060210000000001</v>
      </c>
    </row>
    <row r="227" spans="1:14" x14ac:dyDescent="0.2">
      <c r="A227" t="s">
        <v>847</v>
      </c>
      <c r="B227" t="s">
        <v>847</v>
      </c>
      <c r="C227" t="s">
        <v>493</v>
      </c>
      <c r="D227" t="s">
        <v>936</v>
      </c>
      <c r="E227" t="s">
        <v>364</v>
      </c>
      <c r="F227" t="s">
        <v>937</v>
      </c>
      <c r="G227" t="s">
        <v>366</v>
      </c>
      <c r="H227" t="s">
        <v>41</v>
      </c>
      <c r="I227">
        <v>182</v>
      </c>
      <c r="J227">
        <v>5505.5</v>
      </c>
      <c r="K227">
        <v>176.8</v>
      </c>
      <c r="L227">
        <v>39.700000000000003</v>
      </c>
      <c r="M227">
        <v>87330.468999999997</v>
      </c>
      <c r="N227">
        <v>82.963949999999997</v>
      </c>
    </row>
    <row r="228" spans="1:14" x14ac:dyDescent="0.2">
      <c r="A228" t="s">
        <v>847</v>
      </c>
      <c r="B228" t="s">
        <v>847</v>
      </c>
      <c r="C228" t="s">
        <v>498</v>
      </c>
      <c r="D228" t="s">
        <v>938</v>
      </c>
      <c r="E228" t="s">
        <v>939</v>
      </c>
      <c r="F228" t="s">
        <v>940</v>
      </c>
      <c r="G228" t="s">
        <v>941</v>
      </c>
      <c r="H228" t="s">
        <v>41</v>
      </c>
      <c r="I228">
        <v>7</v>
      </c>
      <c r="J228">
        <v>211.8</v>
      </c>
      <c r="K228">
        <v>22.9</v>
      </c>
      <c r="L228">
        <v>11.8</v>
      </c>
      <c r="M228">
        <v>997.524</v>
      </c>
      <c r="N228">
        <v>0.94764999999999999</v>
      </c>
    </row>
    <row r="229" spans="1:14" x14ac:dyDescent="0.2">
      <c r="A229" t="s">
        <v>847</v>
      </c>
      <c r="B229" t="s">
        <v>847</v>
      </c>
      <c r="C229" t="s">
        <v>501</v>
      </c>
      <c r="D229" t="s">
        <v>942</v>
      </c>
      <c r="E229" t="s">
        <v>943</v>
      </c>
      <c r="F229" t="s">
        <v>944</v>
      </c>
      <c r="G229" t="s">
        <v>945</v>
      </c>
      <c r="H229" t="s">
        <v>41</v>
      </c>
      <c r="I229">
        <v>65</v>
      </c>
      <c r="J229">
        <v>1966.3</v>
      </c>
      <c r="K229">
        <v>83.8</v>
      </c>
      <c r="L229">
        <v>29.9</v>
      </c>
      <c r="M229">
        <v>23506.370999999999</v>
      </c>
      <c r="N229">
        <v>22.331050000000001</v>
      </c>
    </row>
    <row r="230" spans="1:14" x14ac:dyDescent="0.2">
      <c r="A230" t="s">
        <v>847</v>
      </c>
      <c r="B230" t="s">
        <v>847</v>
      </c>
      <c r="C230" t="s">
        <v>506</v>
      </c>
      <c r="D230" t="s">
        <v>857</v>
      </c>
      <c r="E230" t="s">
        <v>946</v>
      </c>
      <c r="F230" t="s">
        <v>947</v>
      </c>
      <c r="G230" t="s">
        <v>948</v>
      </c>
      <c r="H230" t="s">
        <v>41</v>
      </c>
      <c r="I230">
        <v>13</v>
      </c>
      <c r="J230">
        <v>393.3</v>
      </c>
      <c r="K230">
        <v>33.5</v>
      </c>
      <c r="L230">
        <v>14.9</v>
      </c>
      <c r="M230">
        <v>2347.9279999999999</v>
      </c>
      <c r="N230">
        <v>2.2305299999999999</v>
      </c>
    </row>
    <row r="231" spans="1:14" x14ac:dyDescent="0.2">
      <c r="A231" t="s">
        <v>847</v>
      </c>
      <c r="B231" t="s">
        <v>847</v>
      </c>
      <c r="C231" t="s">
        <v>511</v>
      </c>
      <c r="D231" t="s">
        <v>949</v>
      </c>
      <c r="E231" t="s">
        <v>950</v>
      </c>
      <c r="F231" t="s">
        <v>951</v>
      </c>
      <c r="G231" t="s">
        <v>952</v>
      </c>
      <c r="H231" t="s">
        <v>41</v>
      </c>
      <c r="I231">
        <v>58</v>
      </c>
      <c r="J231">
        <v>1754.5</v>
      </c>
      <c r="K231">
        <v>88.3</v>
      </c>
      <c r="L231">
        <v>25.3</v>
      </c>
      <c r="M231">
        <v>17761.162</v>
      </c>
      <c r="N231">
        <v>16.873100000000001</v>
      </c>
    </row>
    <row r="232" spans="1:14" x14ac:dyDescent="0.2">
      <c r="A232" t="s">
        <v>847</v>
      </c>
      <c r="B232" t="s">
        <v>847</v>
      </c>
      <c r="C232" t="s">
        <v>516</v>
      </c>
      <c r="D232" t="s">
        <v>953</v>
      </c>
      <c r="E232" t="s">
        <v>954</v>
      </c>
      <c r="F232" t="s">
        <v>955</v>
      </c>
      <c r="G232" t="s">
        <v>956</v>
      </c>
      <c r="H232" t="s">
        <v>41</v>
      </c>
      <c r="I232">
        <v>67</v>
      </c>
      <c r="J232">
        <v>2026.8</v>
      </c>
      <c r="K232">
        <v>60.6</v>
      </c>
      <c r="L232">
        <v>42.6</v>
      </c>
      <c r="M232">
        <v>34501</v>
      </c>
      <c r="N232">
        <v>32.775950000000002</v>
      </c>
    </row>
    <row r="233" spans="1:14" x14ac:dyDescent="0.2">
      <c r="A233" t="s">
        <v>847</v>
      </c>
      <c r="B233" t="s">
        <v>847</v>
      </c>
      <c r="C233" t="s">
        <v>521</v>
      </c>
      <c r="D233" t="s">
        <v>957</v>
      </c>
      <c r="E233" t="s">
        <v>958</v>
      </c>
      <c r="F233" t="s">
        <v>959</v>
      </c>
      <c r="G233" t="s">
        <v>960</v>
      </c>
      <c r="H233" t="s">
        <v>41</v>
      </c>
      <c r="I233">
        <v>21</v>
      </c>
      <c r="J233">
        <v>635.29999999999995</v>
      </c>
      <c r="K233">
        <v>56.2</v>
      </c>
      <c r="L233">
        <v>14.4</v>
      </c>
      <c r="M233">
        <v>3656.4969999999998</v>
      </c>
      <c r="N233">
        <v>3.4736699999999998</v>
      </c>
    </row>
    <row r="234" spans="1:14" x14ac:dyDescent="0.2">
      <c r="A234" t="s">
        <v>847</v>
      </c>
      <c r="B234" t="s">
        <v>847</v>
      </c>
      <c r="C234" t="s">
        <v>526</v>
      </c>
      <c r="D234" t="s">
        <v>961</v>
      </c>
      <c r="E234" t="s">
        <v>962</v>
      </c>
      <c r="F234" t="s">
        <v>963</v>
      </c>
      <c r="G234" t="s">
        <v>964</v>
      </c>
      <c r="H234" t="s">
        <v>41</v>
      </c>
      <c r="I234">
        <v>23</v>
      </c>
      <c r="J234">
        <v>695.8</v>
      </c>
      <c r="K234">
        <v>40.700000000000003</v>
      </c>
      <c r="L234">
        <v>21.8</v>
      </c>
      <c r="M234">
        <v>6054.7870000000003</v>
      </c>
      <c r="N234">
        <v>5.7520499999999997</v>
      </c>
    </row>
    <row r="235" spans="1:14" x14ac:dyDescent="0.2">
      <c r="A235" t="s">
        <v>847</v>
      </c>
      <c r="B235" t="s">
        <v>847</v>
      </c>
      <c r="C235" t="s">
        <v>531</v>
      </c>
      <c r="D235" t="s">
        <v>965</v>
      </c>
      <c r="E235" t="s">
        <v>966</v>
      </c>
      <c r="F235" t="s">
        <v>967</v>
      </c>
      <c r="G235" t="s">
        <v>968</v>
      </c>
      <c r="H235" t="s">
        <v>41</v>
      </c>
      <c r="I235">
        <v>15</v>
      </c>
      <c r="J235">
        <v>453.8</v>
      </c>
      <c r="K235">
        <v>36.6</v>
      </c>
      <c r="L235">
        <v>15.8</v>
      </c>
      <c r="M235">
        <v>2863.991</v>
      </c>
      <c r="N235">
        <v>2.72079</v>
      </c>
    </row>
    <row r="236" spans="1:14" x14ac:dyDescent="0.2">
      <c r="A236" t="s">
        <v>847</v>
      </c>
      <c r="B236" t="s">
        <v>847</v>
      </c>
      <c r="C236" t="s">
        <v>536</v>
      </c>
      <c r="D236" t="s">
        <v>969</v>
      </c>
      <c r="E236" t="s">
        <v>970</v>
      </c>
      <c r="F236" t="s">
        <v>971</v>
      </c>
      <c r="G236" t="s">
        <v>972</v>
      </c>
      <c r="H236" t="s">
        <v>41</v>
      </c>
      <c r="I236">
        <v>29</v>
      </c>
      <c r="J236">
        <v>877.3</v>
      </c>
      <c r="K236">
        <v>63.8</v>
      </c>
      <c r="L236">
        <v>17.5</v>
      </c>
      <c r="M236">
        <v>6140.4070000000002</v>
      </c>
      <c r="N236">
        <v>5.8333899999999996</v>
      </c>
    </row>
    <row r="237" spans="1:14" x14ac:dyDescent="0.2">
      <c r="A237" t="s">
        <v>847</v>
      </c>
      <c r="B237" t="s">
        <v>847</v>
      </c>
      <c r="C237" t="s">
        <v>541</v>
      </c>
      <c r="D237" t="s">
        <v>973</v>
      </c>
      <c r="E237" t="s">
        <v>974</v>
      </c>
      <c r="F237" t="s">
        <v>975</v>
      </c>
      <c r="G237" t="s">
        <v>976</v>
      </c>
      <c r="H237" t="s">
        <v>41</v>
      </c>
      <c r="I237">
        <v>8</v>
      </c>
      <c r="J237">
        <v>242</v>
      </c>
      <c r="K237">
        <v>22.9</v>
      </c>
      <c r="L237">
        <v>13.5</v>
      </c>
      <c r="M237">
        <v>1302.8879999999999</v>
      </c>
      <c r="N237">
        <v>1.2377400000000001</v>
      </c>
    </row>
    <row r="238" spans="1:14" x14ac:dyDescent="0.2">
      <c r="A238" t="s">
        <v>847</v>
      </c>
      <c r="B238" t="s">
        <v>847</v>
      </c>
      <c r="C238" t="s">
        <v>546</v>
      </c>
      <c r="D238" t="s">
        <v>977</v>
      </c>
      <c r="E238" t="s">
        <v>978</v>
      </c>
      <c r="F238" t="s">
        <v>979</v>
      </c>
      <c r="G238" t="s">
        <v>980</v>
      </c>
      <c r="H238" t="s">
        <v>41</v>
      </c>
      <c r="I238">
        <v>209</v>
      </c>
      <c r="J238">
        <v>6322.3</v>
      </c>
      <c r="K238">
        <v>260.2</v>
      </c>
      <c r="L238">
        <v>30.9</v>
      </c>
      <c r="M238">
        <v>78233.562999999995</v>
      </c>
      <c r="N238">
        <v>74.321879999999993</v>
      </c>
    </row>
    <row r="239" spans="1:14" x14ac:dyDescent="0.2">
      <c r="A239" t="s">
        <v>847</v>
      </c>
      <c r="B239" t="s">
        <v>847</v>
      </c>
      <c r="C239" t="s">
        <v>551</v>
      </c>
      <c r="D239" t="s">
        <v>981</v>
      </c>
      <c r="E239" t="s">
        <v>982</v>
      </c>
      <c r="F239" t="s">
        <v>983</v>
      </c>
      <c r="G239" t="s">
        <v>984</v>
      </c>
      <c r="H239" t="s">
        <v>41</v>
      </c>
      <c r="I239">
        <v>309</v>
      </c>
      <c r="J239">
        <v>9347.2999999999993</v>
      </c>
      <c r="K239">
        <v>216.1</v>
      </c>
      <c r="L239">
        <v>55.1</v>
      </c>
      <c r="M239">
        <v>205869.20300000001</v>
      </c>
      <c r="N239">
        <v>195.57572999999999</v>
      </c>
    </row>
    <row r="240" spans="1:14" x14ac:dyDescent="0.2">
      <c r="A240" t="s">
        <v>847</v>
      </c>
      <c r="B240" t="s">
        <v>847</v>
      </c>
      <c r="C240" t="s">
        <v>985</v>
      </c>
      <c r="D240" t="s">
        <v>986</v>
      </c>
      <c r="E240" t="s">
        <v>987</v>
      </c>
      <c r="F240" t="s">
        <v>988</v>
      </c>
      <c r="G240" t="s">
        <v>989</v>
      </c>
      <c r="H240" t="s">
        <v>41</v>
      </c>
      <c r="I240">
        <v>28</v>
      </c>
      <c r="J240">
        <v>847</v>
      </c>
      <c r="K240">
        <v>69.7</v>
      </c>
      <c r="L240">
        <v>15.5</v>
      </c>
      <c r="M240">
        <v>5242.0020000000004</v>
      </c>
      <c r="N240">
        <v>4.9798999999999998</v>
      </c>
    </row>
    <row r="241" spans="1:14" x14ac:dyDescent="0.2">
      <c r="A241" t="s">
        <v>847</v>
      </c>
      <c r="B241" t="s">
        <v>847</v>
      </c>
      <c r="C241" t="s">
        <v>990</v>
      </c>
      <c r="D241" t="s">
        <v>991</v>
      </c>
      <c r="E241" t="s">
        <v>992</v>
      </c>
      <c r="F241" t="s">
        <v>993</v>
      </c>
      <c r="G241" t="s">
        <v>994</v>
      </c>
      <c r="H241" t="s">
        <v>41</v>
      </c>
      <c r="I241">
        <v>6</v>
      </c>
      <c r="J241">
        <v>181.5</v>
      </c>
      <c r="K241">
        <v>21.1</v>
      </c>
      <c r="L241">
        <v>11</v>
      </c>
      <c r="M241">
        <v>796.78300000000002</v>
      </c>
      <c r="N241">
        <v>0.75693999999999995</v>
      </c>
    </row>
    <row r="242" spans="1:14" x14ac:dyDescent="0.2">
      <c r="A242" t="s">
        <v>847</v>
      </c>
      <c r="B242" t="s">
        <v>847</v>
      </c>
      <c r="C242" t="s">
        <v>995</v>
      </c>
      <c r="D242" t="s">
        <v>996</v>
      </c>
      <c r="E242" t="s">
        <v>997</v>
      </c>
      <c r="F242" t="s">
        <v>998</v>
      </c>
      <c r="G242" t="s">
        <v>999</v>
      </c>
      <c r="H242" t="s">
        <v>41</v>
      </c>
      <c r="I242">
        <v>22</v>
      </c>
      <c r="J242">
        <v>665.5</v>
      </c>
      <c r="K242">
        <v>39</v>
      </c>
      <c r="L242">
        <v>21.8</v>
      </c>
      <c r="M242">
        <v>5790.2969999999996</v>
      </c>
      <c r="N242">
        <v>5.5007799999999998</v>
      </c>
    </row>
    <row r="243" spans="1:14" x14ac:dyDescent="0.2">
      <c r="A243" t="s">
        <v>847</v>
      </c>
      <c r="B243" t="s">
        <v>847</v>
      </c>
      <c r="C243" t="s">
        <v>1000</v>
      </c>
      <c r="D243" t="s">
        <v>1001</v>
      </c>
      <c r="E243" t="s">
        <v>1002</v>
      </c>
      <c r="F243" t="s">
        <v>1003</v>
      </c>
      <c r="G243" t="s">
        <v>1004</v>
      </c>
      <c r="H243" t="s">
        <v>41</v>
      </c>
      <c r="I243">
        <v>8</v>
      </c>
      <c r="J243">
        <v>242</v>
      </c>
      <c r="K243">
        <v>25.3</v>
      </c>
      <c r="L243">
        <v>12.2</v>
      </c>
      <c r="M243">
        <v>1177.4880000000001</v>
      </c>
      <c r="N243">
        <v>1.1186100000000001</v>
      </c>
    </row>
    <row r="244" spans="1:14" x14ac:dyDescent="0.2">
      <c r="A244" t="s">
        <v>1058</v>
      </c>
      <c r="B244" t="s">
        <v>1005</v>
      </c>
      <c r="C244" t="s">
        <v>12</v>
      </c>
      <c r="D244" t="s">
        <v>1006</v>
      </c>
      <c r="E244" t="s">
        <v>1007</v>
      </c>
      <c r="F244" t="s">
        <v>969</v>
      </c>
      <c r="G244" t="s">
        <v>1008</v>
      </c>
      <c r="H244" t="s">
        <v>24</v>
      </c>
      <c r="I244">
        <v>27</v>
      </c>
      <c r="J244">
        <v>816.8</v>
      </c>
      <c r="K244">
        <v>48.5</v>
      </c>
      <c r="L244">
        <v>21.5</v>
      </c>
      <c r="M244">
        <v>7011.2839999999997</v>
      </c>
      <c r="N244">
        <v>6.6607200000000004</v>
      </c>
    </row>
    <row r="245" spans="1:14" x14ac:dyDescent="0.2">
      <c r="A245" t="s">
        <v>1058</v>
      </c>
      <c r="B245" t="s">
        <v>1005</v>
      </c>
      <c r="C245" t="s">
        <v>19</v>
      </c>
      <c r="D245" t="s">
        <v>1009</v>
      </c>
      <c r="E245" t="s">
        <v>1010</v>
      </c>
      <c r="F245" t="s">
        <v>1011</v>
      </c>
      <c r="G245" t="s">
        <v>1012</v>
      </c>
      <c r="H245" t="s">
        <v>24</v>
      </c>
      <c r="I245">
        <v>21</v>
      </c>
      <c r="J245">
        <v>635.29999999999995</v>
      </c>
      <c r="K245">
        <v>39</v>
      </c>
      <c r="L245">
        <v>20.8</v>
      </c>
      <c r="M245">
        <v>5275.87</v>
      </c>
      <c r="N245">
        <v>5.0120800000000001</v>
      </c>
    </row>
    <row r="246" spans="1:14" x14ac:dyDescent="0.2">
      <c r="A246" t="s">
        <v>1058</v>
      </c>
      <c r="B246" t="s">
        <v>1005</v>
      </c>
      <c r="C246" t="s">
        <v>26</v>
      </c>
      <c r="D246" t="s">
        <v>1013</v>
      </c>
      <c r="E246" t="s">
        <v>1014</v>
      </c>
      <c r="F246" t="s">
        <v>1015</v>
      </c>
      <c r="G246" t="s">
        <v>1016</v>
      </c>
      <c r="H246" t="s">
        <v>24</v>
      </c>
      <c r="I246">
        <v>43</v>
      </c>
      <c r="J246">
        <v>1300.8</v>
      </c>
      <c r="K246">
        <v>56</v>
      </c>
      <c r="L246">
        <v>29.6</v>
      </c>
      <c r="M246">
        <v>15376.522000000001</v>
      </c>
      <c r="N246">
        <v>14.607699999999999</v>
      </c>
    </row>
    <row r="247" spans="1:14" x14ac:dyDescent="0.2">
      <c r="A247" t="s">
        <v>1058</v>
      </c>
      <c r="B247" t="s">
        <v>1005</v>
      </c>
      <c r="C247" t="s">
        <v>31</v>
      </c>
      <c r="D247" t="s">
        <v>852</v>
      </c>
      <c r="E247" t="s">
        <v>1017</v>
      </c>
      <c r="F247" t="s">
        <v>854</v>
      </c>
      <c r="G247" t="s">
        <v>1018</v>
      </c>
      <c r="H247" t="s">
        <v>41</v>
      </c>
      <c r="I247">
        <v>379</v>
      </c>
      <c r="J247">
        <v>11464.8</v>
      </c>
      <c r="K247">
        <v>274.7</v>
      </c>
      <c r="L247">
        <v>53.1</v>
      </c>
      <c r="M247">
        <v>243730.04699999999</v>
      </c>
      <c r="N247">
        <v>231.54355000000001</v>
      </c>
    </row>
    <row r="248" spans="1:14" x14ac:dyDescent="0.2">
      <c r="A248" t="s">
        <v>1058</v>
      </c>
      <c r="B248" t="s">
        <v>1005</v>
      </c>
      <c r="C248" t="s">
        <v>36</v>
      </c>
      <c r="D248" t="s">
        <v>1019</v>
      </c>
      <c r="E248" t="s">
        <v>1020</v>
      </c>
      <c r="F248" t="s">
        <v>1021</v>
      </c>
      <c r="G248" t="s">
        <v>1022</v>
      </c>
      <c r="H248" t="s">
        <v>41</v>
      </c>
      <c r="I248">
        <v>148</v>
      </c>
      <c r="J248">
        <v>4477</v>
      </c>
      <c r="K248">
        <v>155.1</v>
      </c>
      <c r="L248">
        <v>36.700000000000003</v>
      </c>
      <c r="M248">
        <v>65795.156000000003</v>
      </c>
      <c r="N248">
        <v>62.505400000000002</v>
      </c>
    </row>
    <row r="249" spans="1:14" x14ac:dyDescent="0.2">
      <c r="A249" t="s">
        <v>1058</v>
      </c>
      <c r="B249" t="s">
        <v>1005</v>
      </c>
      <c r="C249" t="s">
        <v>42</v>
      </c>
      <c r="D249" t="s">
        <v>1023</v>
      </c>
      <c r="E249" t="s">
        <v>1024</v>
      </c>
      <c r="F249" t="s">
        <v>1025</v>
      </c>
      <c r="G249" t="s">
        <v>1026</v>
      </c>
      <c r="H249" t="s">
        <v>41</v>
      </c>
      <c r="I249">
        <v>622</v>
      </c>
      <c r="J249">
        <v>18815.5</v>
      </c>
      <c r="K249">
        <v>204.3</v>
      </c>
      <c r="L249">
        <v>117.3</v>
      </c>
      <c r="M249">
        <v>882701.31299999997</v>
      </c>
      <c r="N249">
        <v>838.56624999999997</v>
      </c>
    </row>
    <row r="250" spans="1:14" x14ac:dyDescent="0.2">
      <c r="A250" t="s">
        <v>1058</v>
      </c>
      <c r="B250" t="s">
        <v>1005</v>
      </c>
      <c r="C250" t="s">
        <v>48</v>
      </c>
      <c r="D250" t="s">
        <v>1027</v>
      </c>
      <c r="E250" t="s">
        <v>1028</v>
      </c>
      <c r="F250" t="s">
        <v>1029</v>
      </c>
      <c r="G250" t="s">
        <v>1030</v>
      </c>
      <c r="H250" t="s">
        <v>41</v>
      </c>
      <c r="I250">
        <v>9</v>
      </c>
      <c r="J250">
        <v>272.3</v>
      </c>
      <c r="K250">
        <v>30.1</v>
      </c>
      <c r="L250">
        <v>11.5</v>
      </c>
      <c r="M250">
        <v>1254.2560000000001</v>
      </c>
      <c r="N250">
        <v>1.19154</v>
      </c>
    </row>
    <row r="251" spans="1:14" x14ac:dyDescent="0.2">
      <c r="A251" t="s">
        <v>1058</v>
      </c>
      <c r="B251" t="s">
        <v>1005</v>
      </c>
      <c r="C251" t="s">
        <v>84</v>
      </c>
      <c r="D251" t="s">
        <v>1031</v>
      </c>
      <c r="E251" t="s">
        <v>1032</v>
      </c>
      <c r="F251" t="s">
        <v>1033</v>
      </c>
      <c r="G251" t="s">
        <v>1034</v>
      </c>
      <c r="H251" t="s">
        <v>41</v>
      </c>
      <c r="I251">
        <v>2393</v>
      </c>
      <c r="J251">
        <v>72388.3</v>
      </c>
      <c r="K251">
        <v>422.6</v>
      </c>
      <c r="L251">
        <v>218.1</v>
      </c>
      <c r="M251">
        <v>6315678</v>
      </c>
      <c r="N251">
        <v>5999.8940000000002</v>
      </c>
    </row>
    <row r="252" spans="1:14" x14ac:dyDescent="0.2">
      <c r="A252" t="s">
        <v>1058</v>
      </c>
      <c r="B252" t="s">
        <v>1005</v>
      </c>
      <c r="C252" t="s">
        <v>89</v>
      </c>
      <c r="D252" t="s">
        <v>1035</v>
      </c>
      <c r="E252" t="s">
        <v>1036</v>
      </c>
      <c r="F252" t="s">
        <v>1037</v>
      </c>
      <c r="G252" t="s">
        <v>1038</v>
      </c>
      <c r="H252" t="s">
        <v>41</v>
      </c>
      <c r="I252">
        <v>60</v>
      </c>
      <c r="J252">
        <v>1815</v>
      </c>
      <c r="K252">
        <v>74.3</v>
      </c>
      <c r="L252">
        <v>31.1</v>
      </c>
      <c r="M252">
        <v>22585.050999999999</v>
      </c>
      <c r="N252">
        <v>21.4558</v>
      </c>
    </row>
    <row r="253" spans="1:14" x14ac:dyDescent="0.2">
      <c r="A253" t="s">
        <v>1058</v>
      </c>
      <c r="B253" t="s">
        <v>1005</v>
      </c>
      <c r="C253" t="s">
        <v>94</v>
      </c>
      <c r="D253" t="s">
        <v>712</v>
      </c>
      <c r="E253" t="s">
        <v>86</v>
      </c>
      <c r="F253" t="s">
        <v>714</v>
      </c>
      <c r="G253" t="s">
        <v>88</v>
      </c>
      <c r="H253" t="s">
        <v>41</v>
      </c>
      <c r="I253">
        <v>30</v>
      </c>
      <c r="J253">
        <v>907.5</v>
      </c>
      <c r="K253">
        <v>65</v>
      </c>
      <c r="L253">
        <v>17.8</v>
      </c>
      <c r="M253">
        <v>6457.1210000000001</v>
      </c>
      <c r="N253">
        <v>6.1342600000000003</v>
      </c>
    </row>
    <row r="254" spans="1:14" x14ac:dyDescent="0.2">
      <c r="A254" t="s">
        <v>1058</v>
      </c>
      <c r="B254" t="s">
        <v>1005</v>
      </c>
      <c r="C254" t="s">
        <v>99</v>
      </c>
      <c r="D254" t="s">
        <v>1039</v>
      </c>
      <c r="E254" t="s">
        <v>897</v>
      </c>
      <c r="F254" t="s">
        <v>1040</v>
      </c>
      <c r="G254" t="s">
        <v>1041</v>
      </c>
      <c r="H254" t="s">
        <v>41</v>
      </c>
      <c r="I254">
        <v>16397</v>
      </c>
      <c r="J254">
        <v>496009.3</v>
      </c>
      <c r="K254">
        <v>8385.9</v>
      </c>
      <c r="L254">
        <v>75.3</v>
      </c>
      <c r="M254">
        <v>14941759</v>
      </c>
      <c r="N254">
        <v>14194.671</v>
      </c>
    </row>
    <row r="255" spans="1:14" x14ac:dyDescent="0.2">
      <c r="A255" t="s">
        <v>1058</v>
      </c>
      <c r="B255" t="s">
        <v>1042</v>
      </c>
      <c r="C255" t="s">
        <v>12</v>
      </c>
      <c r="D255" t="s">
        <v>1043</v>
      </c>
      <c r="E255" t="s">
        <v>1044</v>
      </c>
      <c r="F255" t="s">
        <v>1045</v>
      </c>
      <c r="G255" t="s">
        <v>1046</v>
      </c>
      <c r="H255" t="s">
        <v>25</v>
      </c>
      <c r="I255">
        <v>135</v>
      </c>
      <c r="J255">
        <v>4083.8</v>
      </c>
      <c r="K255">
        <v>114.1</v>
      </c>
      <c r="L255">
        <v>45.6</v>
      </c>
      <c r="M255">
        <v>74460.601999999999</v>
      </c>
      <c r="N255">
        <v>84.885090000000005</v>
      </c>
    </row>
    <row r="256" spans="1:14" x14ac:dyDescent="0.2">
      <c r="A256" t="s">
        <v>1058</v>
      </c>
      <c r="B256" t="s">
        <v>1042</v>
      </c>
      <c r="C256" t="s">
        <v>19</v>
      </c>
      <c r="D256" t="s">
        <v>1047</v>
      </c>
      <c r="E256" t="s">
        <v>1048</v>
      </c>
      <c r="F256" t="s">
        <v>1049</v>
      </c>
      <c r="G256" t="s">
        <v>1050</v>
      </c>
      <c r="H256" t="s">
        <v>24</v>
      </c>
      <c r="I256">
        <v>680</v>
      </c>
      <c r="J256">
        <v>20570</v>
      </c>
      <c r="K256">
        <v>332.6</v>
      </c>
      <c r="L256">
        <v>78.8</v>
      </c>
      <c r="M256">
        <v>648007.875</v>
      </c>
      <c r="N256">
        <v>615.60749999999996</v>
      </c>
    </row>
    <row r="257" spans="1:14" x14ac:dyDescent="0.2">
      <c r="A257" t="s">
        <v>1058</v>
      </c>
      <c r="B257" t="s">
        <v>1042</v>
      </c>
      <c r="C257" t="s">
        <v>26</v>
      </c>
      <c r="D257" t="s">
        <v>721</v>
      </c>
      <c r="E257" t="s">
        <v>1051</v>
      </c>
      <c r="F257" t="s">
        <v>1052</v>
      </c>
      <c r="G257" t="s">
        <v>1053</v>
      </c>
      <c r="H257" t="s">
        <v>41</v>
      </c>
      <c r="I257">
        <v>988</v>
      </c>
      <c r="J257">
        <v>29887</v>
      </c>
      <c r="K257">
        <v>379</v>
      </c>
      <c r="L257">
        <v>100.4</v>
      </c>
      <c r="M257">
        <v>1200435.25</v>
      </c>
      <c r="N257">
        <v>1140.4135000000001</v>
      </c>
    </row>
    <row r="258" spans="1:14" x14ac:dyDescent="0.2">
      <c r="A258" t="s">
        <v>1058</v>
      </c>
      <c r="B258" t="s">
        <v>1042</v>
      </c>
      <c r="C258" t="s">
        <v>31</v>
      </c>
      <c r="D258" t="s">
        <v>1054</v>
      </c>
      <c r="E258" t="s">
        <v>1055</v>
      </c>
      <c r="F258" t="s">
        <v>1056</v>
      </c>
      <c r="G258" t="s">
        <v>1057</v>
      </c>
      <c r="H258" t="s">
        <v>41</v>
      </c>
      <c r="I258">
        <v>322</v>
      </c>
      <c r="J258">
        <v>9740.5</v>
      </c>
      <c r="K258">
        <v>176.9</v>
      </c>
      <c r="L258">
        <v>70.099999999999994</v>
      </c>
      <c r="M258">
        <v>273110.18800000002</v>
      </c>
      <c r="N258">
        <v>259.45467000000002</v>
      </c>
    </row>
    <row r="259" spans="1:14" x14ac:dyDescent="0.2">
      <c r="A259" t="s">
        <v>1059</v>
      </c>
      <c r="B259" t="s">
        <v>1059</v>
      </c>
      <c r="C259" t="s">
        <v>12</v>
      </c>
      <c r="D259" t="s">
        <v>1060</v>
      </c>
      <c r="E259" t="s">
        <v>1061</v>
      </c>
      <c r="F259" t="s">
        <v>1062</v>
      </c>
      <c r="G259" t="s">
        <v>1063</v>
      </c>
      <c r="H259" t="s">
        <v>17</v>
      </c>
      <c r="I259">
        <v>177</v>
      </c>
      <c r="J259">
        <v>5354.3</v>
      </c>
      <c r="K259">
        <v>157.5</v>
      </c>
      <c r="L259">
        <v>43.3</v>
      </c>
      <c r="M259">
        <v>92707.968999999997</v>
      </c>
      <c r="N259">
        <v>127.937</v>
      </c>
    </row>
    <row r="260" spans="1:14" x14ac:dyDescent="0.2">
      <c r="A260" t="s">
        <v>1059</v>
      </c>
      <c r="B260" t="s">
        <v>1059</v>
      </c>
      <c r="C260" t="s">
        <v>19</v>
      </c>
      <c r="D260" t="s">
        <v>269</v>
      </c>
      <c r="E260" t="s">
        <v>166</v>
      </c>
      <c r="F260" t="s">
        <v>271</v>
      </c>
      <c r="G260" t="s">
        <v>167</v>
      </c>
      <c r="H260" t="s">
        <v>24</v>
      </c>
      <c r="I260">
        <v>28</v>
      </c>
      <c r="J260">
        <v>847</v>
      </c>
      <c r="K260">
        <v>45</v>
      </c>
      <c r="L260">
        <v>24</v>
      </c>
      <c r="M260">
        <v>8125.5950000000003</v>
      </c>
      <c r="N260">
        <v>7.7193199999999997</v>
      </c>
    </row>
    <row r="261" spans="1:14" x14ac:dyDescent="0.2">
      <c r="A261" t="s">
        <v>1059</v>
      </c>
      <c r="B261" t="s">
        <v>1059</v>
      </c>
      <c r="C261" t="s">
        <v>26</v>
      </c>
      <c r="D261" t="s">
        <v>1064</v>
      </c>
      <c r="E261" t="s">
        <v>1065</v>
      </c>
      <c r="F261" t="s">
        <v>1066</v>
      </c>
      <c r="G261" t="s">
        <v>1067</v>
      </c>
      <c r="H261" t="s">
        <v>24</v>
      </c>
      <c r="I261">
        <v>72</v>
      </c>
      <c r="J261">
        <v>2178</v>
      </c>
      <c r="K261">
        <v>85.7</v>
      </c>
      <c r="L261">
        <v>32.299999999999997</v>
      </c>
      <c r="M261">
        <v>28179.98</v>
      </c>
      <c r="N261">
        <v>26.770980000000002</v>
      </c>
    </row>
    <row r="262" spans="1:14" x14ac:dyDescent="0.2">
      <c r="A262" t="s">
        <v>1059</v>
      </c>
      <c r="B262" t="s">
        <v>1059</v>
      </c>
      <c r="C262" t="s">
        <v>31</v>
      </c>
      <c r="D262" t="s">
        <v>1068</v>
      </c>
      <c r="E262" t="s">
        <v>1069</v>
      </c>
      <c r="F262" t="s">
        <v>1070</v>
      </c>
      <c r="G262" t="s">
        <v>1071</v>
      </c>
      <c r="H262" t="s">
        <v>24</v>
      </c>
      <c r="I262">
        <v>426</v>
      </c>
      <c r="J262">
        <v>12886.5</v>
      </c>
      <c r="K262">
        <v>186.4</v>
      </c>
      <c r="L262">
        <v>88</v>
      </c>
      <c r="M262">
        <v>453701.81300000002</v>
      </c>
      <c r="N262">
        <v>431.01672000000002</v>
      </c>
    </row>
    <row r="263" spans="1:14" x14ac:dyDescent="0.2">
      <c r="A263" t="s">
        <v>1059</v>
      </c>
      <c r="B263" t="s">
        <v>1059</v>
      </c>
      <c r="C263" t="s">
        <v>36</v>
      </c>
      <c r="D263" t="s">
        <v>1072</v>
      </c>
      <c r="E263" t="s">
        <v>1073</v>
      </c>
      <c r="F263" t="s">
        <v>1074</v>
      </c>
      <c r="G263" t="s">
        <v>1075</v>
      </c>
      <c r="H263" t="s">
        <v>24</v>
      </c>
      <c r="I263">
        <v>386</v>
      </c>
      <c r="J263">
        <v>11676.5</v>
      </c>
      <c r="K263">
        <v>173.3</v>
      </c>
      <c r="L263">
        <v>85.8</v>
      </c>
      <c r="M263">
        <v>400598.43800000002</v>
      </c>
      <c r="N263">
        <v>380.56849999999997</v>
      </c>
    </row>
    <row r="264" spans="1:14" x14ac:dyDescent="0.2">
      <c r="A264" t="s">
        <v>1059</v>
      </c>
      <c r="B264" t="s">
        <v>1059</v>
      </c>
      <c r="C264" t="s">
        <v>42</v>
      </c>
      <c r="D264" t="s">
        <v>367</v>
      </c>
      <c r="E264" t="s">
        <v>1076</v>
      </c>
      <c r="F264" t="s">
        <v>369</v>
      </c>
      <c r="G264" t="s">
        <v>1077</v>
      </c>
      <c r="H264" t="s">
        <v>24</v>
      </c>
      <c r="I264">
        <v>77</v>
      </c>
      <c r="J264">
        <v>2329.3000000000002</v>
      </c>
      <c r="K264">
        <v>89.2</v>
      </c>
      <c r="L264">
        <v>33.299999999999997</v>
      </c>
      <c r="M264">
        <v>30983.133000000002</v>
      </c>
      <c r="N264">
        <v>29.433979999999998</v>
      </c>
    </row>
    <row r="265" spans="1:14" x14ac:dyDescent="0.2">
      <c r="A265" t="s">
        <v>1059</v>
      </c>
      <c r="B265" t="s">
        <v>1059</v>
      </c>
      <c r="C265" t="s">
        <v>48</v>
      </c>
      <c r="D265" t="s">
        <v>245</v>
      </c>
      <c r="E265" t="s">
        <v>1078</v>
      </c>
      <c r="F265" t="s">
        <v>247</v>
      </c>
      <c r="G265" t="s">
        <v>1079</v>
      </c>
      <c r="H265" t="s">
        <v>24</v>
      </c>
      <c r="I265">
        <v>202</v>
      </c>
      <c r="J265">
        <v>6110.5</v>
      </c>
      <c r="K265">
        <v>115.7</v>
      </c>
      <c r="L265">
        <v>67.2</v>
      </c>
      <c r="M265">
        <v>164317.04699999999</v>
      </c>
      <c r="N265">
        <v>156.10119</v>
      </c>
    </row>
    <row r="266" spans="1:14" x14ac:dyDescent="0.2">
      <c r="A266" t="s">
        <v>1059</v>
      </c>
      <c r="B266" t="s">
        <v>1059</v>
      </c>
      <c r="C266" t="s">
        <v>84</v>
      </c>
      <c r="D266" t="s">
        <v>977</v>
      </c>
      <c r="E266" t="s">
        <v>1080</v>
      </c>
      <c r="F266" t="s">
        <v>979</v>
      </c>
      <c r="G266" t="s">
        <v>1081</v>
      </c>
      <c r="H266" t="s">
        <v>24</v>
      </c>
      <c r="I266">
        <v>956</v>
      </c>
      <c r="J266">
        <v>28919</v>
      </c>
      <c r="K266">
        <v>261.3</v>
      </c>
      <c r="L266">
        <v>140.9</v>
      </c>
      <c r="M266">
        <v>1630313.25</v>
      </c>
      <c r="N266">
        <v>1548.79763</v>
      </c>
    </row>
    <row r="267" spans="1:14" x14ac:dyDescent="0.2">
      <c r="A267" t="s">
        <v>1059</v>
      </c>
      <c r="B267" t="s">
        <v>1059</v>
      </c>
      <c r="C267" t="s">
        <v>89</v>
      </c>
      <c r="D267" t="s">
        <v>1082</v>
      </c>
      <c r="E267" t="s">
        <v>1083</v>
      </c>
      <c r="F267" t="s">
        <v>1084</v>
      </c>
      <c r="G267" t="s">
        <v>1085</v>
      </c>
      <c r="H267" t="s">
        <v>24</v>
      </c>
      <c r="I267">
        <v>12</v>
      </c>
      <c r="J267">
        <v>363</v>
      </c>
      <c r="K267">
        <v>27.5</v>
      </c>
      <c r="L267">
        <v>16.8</v>
      </c>
      <c r="M267">
        <v>2440.3420000000001</v>
      </c>
      <c r="N267">
        <v>2.3183199999999999</v>
      </c>
    </row>
    <row r="268" spans="1:14" x14ac:dyDescent="0.2">
      <c r="A268" t="s">
        <v>1059</v>
      </c>
      <c r="B268" t="s">
        <v>1059</v>
      </c>
      <c r="C268" t="s">
        <v>94</v>
      </c>
      <c r="D268" t="s">
        <v>1086</v>
      </c>
      <c r="E268" t="s">
        <v>1087</v>
      </c>
      <c r="F268" t="s">
        <v>1088</v>
      </c>
      <c r="G268" t="s">
        <v>1089</v>
      </c>
      <c r="H268" t="s">
        <v>24</v>
      </c>
      <c r="I268">
        <v>64</v>
      </c>
      <c r="J268">
        <v>1936</v>
      </c>
      <c r="K268">
        <v>88.5</v>
      </c>
      <c r="L268">
        <v>27.9</v>
      </c>
      <c r="M268">
        <v>21579.953000000001</v>
      </c>
      <c r="N268">
        <v>20.500959999999999</v>
      </c>
    </row>
    <row r="269" spans="1:14" x14ac:dyDescent="0.2">
      <c r="A269" t="s">
        <v>1059</v>
      </c>
      <c r="B269" t="s">
        <v>1059</v>
      </c>
      <c r="C269" t="s">
        <v>99</v>
      </c>
      <c r="D269" t="s">
        <v>1090</v>
      </c>
      <c r="E269" t="s">
        <v>1091</v>
      </c>
      <c r="F269" t="s">
        <v>1092</v>
      </c>
      <c r="G269" t="s">
        <v>1093</v>
      </c>
      <c r="H269" t="s">
        <v>47</v>
      </c>
      <c r="I269">
        <v>1470</v>
      </c>
      <c r="J269">
        <v>44467.5</v>
      </c>
      <c r="K269">
        <v>353.6</v>
      </c>
      <c r="L269">
        <v>160.1</v>
      </c>
      <c r="M269">
        <v>2848034.25</v>
      </c>
      <c r="N269">
        <v>2961.9555</v>
      </c>
    </row>
    <row r="270" spans="1:14" x14ac:dyDescent="0.2">
      <c r="A270" t="s">
        <v>1059</v>
      </c>
      <c r="B270" t="s">
        <v>1059</v>
      </c>
      <c r="C270" t="s">
        <v>104</v>
      </c>
      <c r="D270" t="s">
        <v>135</v>
      </c>
      <c r="E270" t="s">
        <v>1094</v>
      </c>
      <c r="F270" t="s">
        <v>137</v>
      </c>
      <c r="G270" t="s">
        <v>1095</v>
      </c>
      <c r="H270" t="s">
        <v>41</v>
      </c>
      <c r="I270">
        <v>54</v>
      </c>
      <c r="J270">
        <v>1633.5</v>
      </c>
      <c r="K270">
        <v>72.2</v>
      </c>
      <c r="L270">
        <v>28.8</v>
      </c>
      <c r="M270">
        <v>18826.822</v>
      </c>
      <c r="N270">
        <v>17.885480000000001</v>
      </c>
    </row>
    <row r="271" spans="1:14" x14ac:dyDescent="0.2">
      <c r="A271" t="s">
        <v>1059</v>
      </c>
      <c r="B271" t="s">
        <v>1059</v>
      </c>
      <c r="C271" t="s">
        <v>109</v>
      </c>
      <c r="D271" t="s">
        <v>1096</v>
      </c>
      <c r="E271" t="s">
        <v>1097</v>
      </c>
      <c r="F271" t="s">
        <v>1098</v>
      </c>
      <c r="G271" t="s">
        <v>1099</v>
      </c>
      <c r="H271" t="s">
        <v>41</v>
      </c>
      <c r="I271">
        <v>176</v>
      </c>
      <c r="J271">
        <v>5324</v>
      </c>
      <c r="K271">
        <v>113.5</v>
      </c>
      <c r="L271">
        <v>59.7</v>
      </c>
      <c r="M271">
        <v>127238.859</v>
      </c>
      <c r="N271">
        <v>120.87691</v>
      </c>
    </row>
    <row r="272" spans="1:14" x14ac:dyDescent="0.2">
      <c r="A272" t="s">
        <v>1124</v>
      </c>
      <c r="B272" t="s">
        <v>1100</v>
      </c>
      <c r="C272" t="s">
        <v>12</v>
      </c>
      <c r="D272" t="s">
        <v>1101</v>
      </c>
      <c r="E272" t="s">
        <v>1102</v>
      </c>
      <c r="F272" t="s">
        <v>1103</v>
      </c>
      <c r="G272" t="s">
        <v>1104</v>
      </c>
      <c r="H272" t="s">
        <v>24</v>
      </c>
      <c r="I272">
        <v>69</v>
      </c>
      <c r="J272">
        <v>2087.3000000000002</v>
      </c>
      <c r="K272">
        <v>67.599999999999994</v>
      </c>
      <c r="L272">
        <v>39.299999999999997</v>
      </c>
      <c r="M272">
        <v>32822.188000000002</v>
      </c>
      <c r="N272">
        <v>31.181080000000001</v>
      </c>
    </row>
    <row r="273" spans="1:14" x14ac:dyDescent="0.2">
      <c r="A273" t="s">
        <v>1124</v>
      </c>
      <c r="B273" t="s">
        <v>1100</v>
      </c>
      <c r="C273" t="s">
        <v>19</v>
      </c>
      <c r="D273" t="s">
        <v>1105</v>
      </c>
      <c r="E273" t="s">
        <v>1106</v>
      </c>
      <c r="F273" t="s">
        <v>1107</v>
      </c>
      <c r="G273" t="s">
        <v>1108</v>
      </c>
      <c r="H273" t="s">
        <v>24</v>
      </c>
      <c r="I273">
        <v>15</v>
      </c>
      <c r="J273">
        <v>453.8</v>
      </c>
      <c r="K273">
        <v>28.8</v>
      </c>
      <c r="L273">
        <v>20</v>
      </c>
      <c r="M273">
        <v>3636.5590000000002</v>
      </c>
      <c r="N273">
        <v>3.4547300000000001</v>
      </c>
    </row>
    <row r="274" spans="1:14" x14ac:dyDescent="0.2">
      <c r="A274" t="s">
        <v>1124</v>
      </c>
      <c r="B274" t="s">
        <v>1109</v>
      </c>
      <c r="C274" t="s">
        <v>12</v>
      </c>
      <c r="D274" t="s">
        <v>1110</v>
      </c>
      <c r="E274" t="s">
        <v>1111</v>
      </c>
      <c r="F274" t="s">
        <v>598</v>
      </c>
      <c r="G274" t="s">
        <v>1112</v>
      </c>
      <c r="H274" t="s">
        <v>17</v>
      </c>
      <c r="I274">
        <v>245</v>
      </c>
      <c r="J274">
        <v>7411.3</v>
      </c>
      <c r="K274">
        <v>187.2</v>
      </c>
      <c r="L274">
        <v>50.4</v>
      </c>
      <c r="M274">
        <v>149417.06299999999</v>
      </c>
      <c r="N274">
        <v>206.19555</v>
      </c>
    </row>
    <row r="275" spans="1:14" x14ac:dyDescent="0.2">
      <c r="A275" t="s">
        <v>1124</v>
      </c>
      <c r="B275" t="s">
        <v>1109</v>
      </c>
      <c r="C275" t="s">
        <v>19</v>
      </c>
      <c r="D275" t="s">
        <v>1113</v>
      </c>
      <c r="E275" t="s">
        <v>1114</v>
      </c>
      <c r="F275" t="s">
        <v>1115</v>
      </c>
      <c r="G275" t="s">
        <v>1116</v>
      </c>
      <c r="H275" t="s">
        <v>41</v>
      </c>
      <c r="I275">
        <v>36</v>
      </c>
      <c r="J275">
        <v>1089</v>
      </c>
      <c r="K275">
        <v>75.7</v>
      </c>
      <c r="L275">
        <v>18.3</v>
      </c>
      <c r="M275">
        <v>7976.6620000000003</v>
      </c>
      <c r="N275">
        <v>7.5778299999999996</v>
      </c>
    </row>
    <row r="276" spans="1:14" x14ac:dyDescent="0.2">
      <c r="A276" t="s">
        <v>1124</v>
      </c>
      <c r="B276" t="s">
        <v>1109</v>
      </c>
      <c r="C276" t="s">
        <v>26</v>
      </c>
      <c r="D276" t="s">
        <v>1117</v>
      </c>
      <c r="E276" t="s">
        <v>1118</v>
      </c>
      <c r="F276" t="s">
        <v>1119</v>
      </c>
      <c r="G276" t="s">
        <v>1120</v>
      </c>
      <c r="H276" t="s">
        <v>41</v>
      </c>
      <c r="I276">
        <v>94</v>
      </c>
      <c r="J276">
        <v>2843.5</v>
      </c>
      <c r="K276">
        <v>89.2</v>
      </c>
      <c r="L276">
        <v>40.6</v>
      </c>
      <c r="M276">
        <v>46174.226999999999</v>
      </c>
      <c r="N276">
        <v>43.865519999999997</v>
      </c>
    </row>
    <row r="277" spans="1:14" x14ac:dyDescent="0.2">
      <c r="A277" t="s">
        <v>1124</v>
      </c>
      <c r="B277" t="s">
        <v>1109</v>
      </c>
      <c r="C277" t="s">
        <v>31</v>
      </c>
      <c r="D277" t="s">
        <v>864</v>
      </c>
      <c r="E277" t="s">
        <v>1121</v>
      </c>
      <c r="F277" t="s">
        <v>1122</v>
      </c>
      <c r="G277" t="s">
        <v>1123</v>
      </c>
      <c r="H277" t="s">
        <v>41</v>
      </c>
      <c r="I277">
        <v>84</v>
      </c>
      <c r="J277">
        <v>2541</v>
      </c>
      <c r="K277">
        <v>77.5</v>
      </c>
      <c r="L277">
        <v>41.7</v>
      </c>
      <c r="M277">
        <v>42416.112999999998</v>
      </c>
      <c r="N277">
        <v>40.295310000000001</v>
      </c>
    </row>
    <row r="278" spans="1:14" x14ac:dyDescent="0.2">
      <c r="A278" t="s">
        <v>1185</v>
      </c>
      <c r="B278" t="s">
        <v>1125</v>
      </c>
      <c r="C278" t="s">
        <v>12</v>
      </c>
      <c r="D278" t="s">
        <v>1126</v>
      </c>
      <c r="E278" t="s">
        <v>1127</v>
      </c>
      <c r="F278" t="s">
        <v>1128</v>
      </c>
      <c r="G278" t="s">
        <v>1129</v>
      </c>
      <c r="H278" t="s">
        <v>25</v>
      </c>
      <c r="I278">
        <v>48</v>
      </c>
      <c r="J278">
        <v>1452</v>
      </c>
      <c r="K278">
        <v>67.099999999999994</v>
      </c>
      <c r="L278">
        <v>27.6</v>
      </c>
      <c r="M278">
        <v>16001.093000000001</v>
      </c>
      <c r="N278">
        <v>18.241250000000001</v>
      </c>
    </row>
    <row r="279" spans="1:14" x14ac:dyDescent="0.2">
      <c r="A279" t="s">
        <v>1185</v>
      </c>
      <c r="B279" t="s">
        <v>1125</v>
      </c>
      <c r="C279" t="s">
        <v>19</v>
      </c>
      <c r="D279" t="s">
        <v>1130</v>
      </c>
      <c r="E279" t="s">
        <v>1131</v>
      </c>
      <c r="F279" t="s">
        <v>1132</v>
      </c>
      <c r="G279" t="s">
        <v>1133</v>
      </c>
      <c r="H279" t="s">
        <v>24</v>
      </c>
      <c r="I279">
        <v>22</v>
      </c>
      <c r="J279">
        <v>665.5</v>
      </c>
      <c r="K279">
        <v>33.5</v>
      </c>
      <c r="L279">
        <v>25.3</v>
      </c>
      <c r="M279">
        <v>6724.2449999999999</v>
      </c>
      <c r="N279">
        <v>6.3880299999999997</v>
      </c>
    </row>
    <row r="280" spans="1:14" x14ac:dyDescent="0.2">
      <c r="A280" t="s">
        <v>1185</v>
      </c>
      <c r="B280" t="s">
        <v>1125</v>
      </c>
      <c r="C280" t="s">
        <v>26</v>
      </c>
      <c r="D280" t="s">
        <v>1134</v>
      </c>
      <c r="E280" t="s">
        <v>1135</v>
      </c>
      <c r="F280" t="s">
        <v>1136</v>
      </c>
      <c r="G280" t="s">
        <v>1137</v>
      </c>
      <c r="H280" t="s">
        <v>24</v>
      </c>
      <c r="I280">
        <v>12</v>
      </c>
      <c r="J280">
        <v>363</v>
      </c>
      <c r="K280">
        <v>30.1</v>
      </c>
      <c r="L280">
        <v>15.4</v>
      </c>
      <c r="M280">
        <v>2229.7890000000002</v>
      </c>
      <c r="N280">
        <v>2.1183000000000001</v>
      </c>
    </row>
    <row r="281" spans="1:14" x14ac:dyDescent="0.2">
      <c r="A281" t="s">
        <v>1185</v>
      </c>
      <c r="B281" t="s">
        <v>1125</v>
      </c>
      <c r="C281" t="s">
        <v>31</v>
      </c>
      <c r="D281" t="s">
        <v>1138</v>
      </c>
      <c r="E281" t="s">
        <v>710</v>
      </c>
      <c r="F281" t="s">
        <v>1139</v>
      </c>
      <c r="G281" t="s">
        <v>711</v>
      </c>
      <c r="H281" t="s">
        <v>24</v>
      </c>
      <c r="I281">
        <v>44</v>
      </c>
      <c r="J281">
        <v>1331</v>
      </c>
      <c r="K281">
        <v>64.5</v>
      </c>
      <c r="L281">
        <v>26.3</v>
      </c>
      <c r="M281">
        <v>13992.971</v>
      </c>
      <c r="N281">
        <v>13.29332</v>
      </c>
    </row>
    <row r="282" spans="1:14" x14ac:dyDescent="0.2">
      <c r="A282" t="s">
        <v>1185</v>
      </c>
      <c r="B282" t="s">
        <v>1125</v>
      </c>
      <c r="C282" t="s">
        <v>36</v>
      </c>
      <c r="D282" t="s">
        <v>1140</v>
      </c>
      <c r="E282" t="s">
        <v>1141</v>
      </c>
      <c r="F282" t="s">
        <v>1142</v>
      </c>
      <c r="G282" t="s">
        <v>1143</v>
      </c>
      <c r="H282" t="s">
        <v>24</v>
      </c>
      <c r="I282">
        <v>39</v>
      </c>
      <c r="J282">
        <v>1179.8</v>
      </c>
      <c r="K282">
        <v>54.5</v>
      </c>
      <c r="L282">
        <v>27.6</v>
      </c>
      <c r="M282">
        <v>13003.875</v>
      </c>
      <c r="N282">
        <v>12.353680000000001</v>
      </c>
    </row>
    <row r="283" spans="1:14" x14ac:dyDescent="0.2">
      <c r="A283" t="s">
        <v>1185</v>
      </c>
      <c r="B283" t="s">
        <v>1125</v>
      </c>
      <c r="C283" t="s">
        <v>42</v>
      </c>
      <c r="D283" t="s">
        <v>1144</v>
      </c>
      <c r="E283" t="s">
        <v>1145</v>
      </c>
      <c r="F283" t="s">
        <v>1146</v>
      </c>
      <c r="G283" t="s">
        <v>1147</v>
      </c>
      <c r="H283" t="s">
        <v>47</v>
      </c>
      <c r="I283">
        <v>756</v>
      </c>
      <c r="J283">
        <v>22869</v>
      </c>
      <c r="K283">
        <v>257.60000000000002</v>
      </c>
      <c r="L283">
        <v>113.1</v>
      </c>
      <c r="M283">
        <v>1034149.563</v>
      </c>
      <c r="N283">
        <v>1075.5155</v>
      </c>
    </row>
    <row r="284" spans="1:14" x14ac:dyDescent="0.2">
      <c r="A284" t="s">
        <v>1185</v>
      </c>
      <c r="B284" t="s">
        <v>1148</v>
      </c>
      <c r="C284" t="s">
        <v>12</v>
      </c>
      <c r="D284" t="s">
        <v>1149</v>
      </c>
      <c r="E284" t="s">
        <v>1150</v>
      </c>
      <c r="F284" t="s">
        <v>1151</v>
      </c>
      <c r="G284" t="s">
        <v>1152</v>
      </c>
      <c r="H284" t="s">
        <v>17</v>
      </c>
      <c r="I284">
        <v>544</v>
      </c>
      <c r="J284">
        <v>16456</v>
      </c>
      <c r="K284">
        <v>640.20000000000005</v>
      </c>
      <c r="L284">
        <v>32.700000000000003</v>
      </c>
      <c r="M284">
        <v>215433.79699999999</v>
      </c>
      <c r="N284">
        <v>297.29863</v>
      </c>
    </row>
    <row r="285" spans="1:14" x14ac:dyDescent="0.2">
      <c r="A285" t="s">
        <v>1185</v>
      </c>
      <c r="B285" t="s">
        <v>1148</v>
      </c>
      <c r="C285" t="s">
        <v>19</v>
      </c>
      <c r="D285" t="s">
        <v>866</v>
      </c>
      <c r="E285" t="s">
        <v>1153</v>
      </c>
      <c r="F285" t="s">
        <v>868</v>
      </c>
      <c r="G285" t="s">
        <v>1154</v>
      </c>
      <c r="H285" t="s">
        <v>17</v>
      </c>
      <c r="I285">
        <v>47</v>
      </c>
      <c r="J285">
        <v>1421.8</v>
      </c>
      <c r="K285">
        <v>87.6</v>
      </c>
      <c r="L285">
        <v>20.7</v>
      </c>
      <c r="M285">
        <v>11747.769</v>
      </c>
      <c r="N285">
        <v>16.211919999999999</v>
      </c>
    </row>
    <row r="286" spans="1:14" x14ac:dyDescent="0.2">
      <c r="A286" t="s">
        <v>1185</v>
      </c>
      <c r="B286" t="s">
        <v>1148</v>
      </c>
      <c r="C286" t="s">
        <v>26</v>
      </c>
      <c r="D286" t="s">
        <v>1155</v>
      </c>
      <c r="E286" t="s">
        <v>1156</v>
      </c>
      <c r="F286" t="s">
        <v>1157</v>
      </c>
      <c r="G286" t="s">
        <v>1158</v>
      </c>
      <c r="H286" t="s">
        <v>17</v>
      </c>
      <c r="I286">
        <v>123</v>
      </c>
      <c r="J286">
        <v>3720.8</v>
      </c>
      <c r="K286">
        <v>163.4</v>
      </c>
      <c r="L286">
        <v>29</v>
      </c>
      <c r="M286">
        <v>43158.285000000003</v>
      </c>
      <c r="N286">
        <v>59.558430000000001</v>
      </c>
    </row>
    <row r="287" spans="1:14" x14ac:dyDescent="0.2">
      <c r="A287" t="s">
        <v>1185</v>
      </c>
      <c r="B287" t="s">
        <v>1148</v>
      </c>
      <c r="C287" t="s">
        <v>31</v>
      </c>
      <c r="D287" t="s">
        <v>1159</v>
      </c>
      <c r="E287" t="s">
        <v>86</v>
      </c>
      <c r="F287" t="s">
        <v>1160</v>
      </c>
      <c r="G287" t="s">
        <v>88</v>
      </c>
      <c r="H287" t="s">
        <v>17</v>
      </c>
      <c r="I287">
        <v>17</v>
      </c>
      <c r="J287">
        <v>514.29999999999995</v>
      </c>
      <c r="K287">
        <v>45.2</v>
      </c>
      <c r="L287">
        <v>14.5</v>
      </c>
      <c r="M287">
        <v>2982.3220000000001</v>
      </c>
      <c r="N287">
        <v>4.1155999999999997</v>
      </c>
    </row>
    <row r="288" spans="1:14" x14ac:dyDescent="0.2">
      <c r="A288" t="s">
        <v>1185</v>
      </c>
      <c r="B288" t="s">
        <v>1148</v>
      </c>
      <c r="C288" t="s">
        <v>36</v>
      </c>
      <c r="D288" t="s">
        <v>1161</v>
      </c>
      <c r="E288" t="s">
        <v>1162</v>
      </c>
      <c r="F288" t="s">
        <v>1163</v>
      </c>
      <c r="G288" t="s">
        <v>1164</v>
      </c>
      <c r="H288" t="s">
        <v>24</v>
      </c>
      <c r="I288">
        <v>122</v>
      </c>
      <c r="J288">
        <v>3690.5</v>
      </c>
      <c r="K288">
        <v>100</v>
      </c>
      <c r="L288">
        <v>47</v>
      </c>
      <c r="M288">
        <v>69356.375</v>
      </c>
      <c r="N288">
        <v>65.888549999999995</v>
      </c>
    </row>
    <row r="289" spans="1:14" x14ac:dyDescent="0.2">
      <c r="A289" t="s">
        <v>1185</v>
      </c>
      <c r="B289" t="s">
        <v>1148</v>
      </c>
      <c r="C289" t="s">
        <v>42</v>
      </c>
      <c r="D289" t="s">
        <v>1165</v>
      </c>
      <c r="E289" t="s">
        <v>292</v>
      </c>
      <c r="F289" t="s">
        <v>1166</v>
      </c>
      <c r="G289" t="s">
        <v>294</v>
      </c>
      <c r="H289" t="s">
        <v>24</v>
      </c>
      <c r="I289">
        <v>48</v>
      </c>
      <c r="J289">
        <v>1452</v>
      </c>
      <c r="K289">
        <v>63.6</v>
      </c>
      <c r="L289">
        <v>29.1</v>
      </c>
      <c r="M289">
        <v>16893.815999999999</v>
      </c>
      <c r="N289">
        <v>16.049130000000002</v>
      </c>
    </row>
    <row r="290" spans="1:14" x14ac:dyDescent="0.2">
      <c r="A290" t="s">
        <v>1185</v>
      </c>
      <c r="B290" t="s">
        <v>1148</v>
      </c>
      <c r="C290" t="s">
        <v>48</v>
      </c>
      <c r="D290" t="s">
        <v>401</v>
      </c>
      <c r="E290" t="s">
        <v>1167</v>
      </c>
      <c r="F290" t="s">
        <v>273</v>
      </c>
      <c r="G290" t="s">
        <v>1168</v>
      </c>
      <c r="H290" t="s">
        <v>41</v>
      </c>
      <c r="I290">
        <v>70</v>
      </c>
      <c r="J290">
        <v>2117.5</v>
      </c>
      <c r="K290">
        <v>124.9</v>
      </c>
      <c r="L290">
        <v>21.6</v>
      </c>
      <c r="M290">
        <v>18281.096000000001</v>
      </c>
      <c r="N290">
        <v>17.367039999999999</v>
      </c>
    </row>
    <row r="291" spans="1:14" x14ac:dyDescent="0.2">
      <c r="A291" t="s">
        <v>1185</v>
      </c>
      <c r="B291" t="s">
        <v>1148</v>
      </c>
      <c r="C291" t="s">
        <v>84</v>
      </c>
      <c r="D291" t="s">
        <v>1169</v>
      </c>
      <c r="E291" t="s">
        <v>1170</v>
      </c>
      <c r="F291" t="s">
        <v>1171</v>
      </c>
      <c r="G291" t="s">
        <v>1172</v>
      </c>
      <c r="H291" t="s">
        <v>41</v>
      </c>
      <c r="I291">
        <v>218</v>
      </c>
      <c r="J291">
        <v>6594.5</v>
      </c>
      <c r="K291">
        <v>172.4</v>
      </c>
      <c r="L291">
        <v>48.7</v>
      </c>
      <c r="M291">
        <v>128484.56299999999</v>
      </c>
      <c r="N291">
        <v>122.06034</v>
      </c>
    </row>
    <row r="292" spans="1:14" x14ac:dyDescent="0.2">
      <c r="A292" t="s">
        <v>1185</v>
      </c>
      <c r="B292" t="s">
        <v>1148</v>
      </c>
      <c r="C292" t="s">
        <v>89</v>
      </c>
      <c r="D292" t="s">
        <v>1173</v>
      </c>
      <c r="E292" t="s">
        <v>1174</v>
      </c>
      <c r="F292" t="s">
        <v>1175</v>
      </c>
      <c r="G292" t="s">
        <v>1176</v>
      </c>
      <c r="H292" t="s">
        <v>41</v>
      </c>
      <c r="I292">
        <v>44</v>
      </c>
      <c r="J292">
        <v>1331</v>
      </c>
      <c r="K292">
        <v>66.099999999999994</v>
      </c>
      <c r="L292">
        <v>25.6</v>
      </c>
      <c r="M292">
        <v>13644.646000000001</v>
      </c>
      <c r="N292">
        <v>12.96241</v>
      </c>
    </row>
    <row r="293" spans="1:14" x14ac:dyDescent="0.2">
      <c r="A293" t="s">
        <v>1185</v>
      </c>
      <c r="B293" t="s">
        <v>1148</v>
      </c>
      <c r="C293" t="s">
        <v>94</v>
      </c>
      <c r="D293" t="s">
        <v>1177</v>
      </c>
      <c r="E293" t="s">
        <v>1178</v>
      </c>
      <c r="F293" t="s">
        <v>1179</v>
      </c>
      <c r="G293" t="s">
        <v>1180</v>
      </c>
      <c r="H293" t="s">
        <v>41</v>
      </c>
      <c r="I293">
        <v>39</v>
      </c>
      <c r="J293">
        <v>1179.8</v>
      </c>
      <c r="K293">
        <v>70</v>
      </c>
      <c r="L293">
        <v>21.5</v>
      </c>
      <c r="M293">
        <v>10130.785</v>
      </c>
      <c r="N293">
        <v>9.62425</v>
      </c>
    </row>
    <row r="294" spans="1:14" x14ac:dyDescent="0.2">
      <c r="A294" t="s">
        <v>1185</v>
      </c>
      <c r="B294" t="s">
        <v>1148</v>
      </c>
      <c r="C294" t="s">
        <v>99</v>
      </c>
      <c r="D294" t="s">
        <v>1181</v>
      </c>
      <c r="E294" t="s">
        <v>1182</v>
      </c>
      <c r="F294" t="s">
        <v>1183</v>
      </c>
      <c r="G294" t="s">
        <v>1184</v>
      </c>
      <c r="H294" t="s">
        <v>41</v>
      </c>
      <c r="I294">
        <v>24</v>
      </c>
      <c r="J294">
        <v>726</v>
      </c>
      <c r="K294">
        <v>56.2</v>
      </c>
      <c r="L294">
        <v>16.399999999999999</v>
      </c>
      <c r="M294">
        <v>4775.8329999999996</v>
      </c>
      <c r="N294">
        <v>4.5370400000000002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D814-D243-4AB4-A7E3-FFE1F0AE0537}">
  <dimension ref="A1:R48"/>
  <sheetViews>
    <sheetView topLeftCell="A31" workbookViewId="0">
      <selection activeCell="U31" sqref="U31"/>
    </sheetView>
  </sheetViews>
  <sheetFormatPr baseColWidth="10" defaultColWidth="8.83203125" defaultRowHeight="15" x14ac:dyDescent="0.2"/>
  <sheetData>
    <row r="1" spans="1:18" x14ac:dyDescent="0.2">
      <c r="A1" s="1" t="s">
        <v>1192</v>
      </c>
      <c r="B1" s="2" t="s">
        <v>1</v>
      </c>
      <c r="C1" s="2" t="s">
        <v>2</v>
      </c>
      <c r="D1" s="2"/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1190</v>
      </c>
      <c r="P1" s="3"/>
      <c r="Q1" t="s">
        <v>1238</v>
      </c>
    </row>
    <row r="2" spans="1:18" x14ac:dyDescent="0.2">
      <c r="A2" s="4"/>
      <c r="B2" t="s">
        <v>12</v>
      </c>
      <c r="C2" t="s">
        <v>1193</v>
      </c>
      <c r="D2" t="s">
        <v>962</v>
      </c>
      <c r="E2" t="s">
        <v>1194</v>
      </c>
      <c r="F2" t="s">
        <v>964</v>
      </c>
      <c r="G2" t="s">
        <v>47</v>
      </c>
      <c r="H2">
        <v>179</v>
      </c>
      <c r="I2">
        <v>5414.8</v>
      </c>
      <c r="J2">
        <v>129</v>
      </c>
      <c r="K2">
        <v>53.4</v>
      </c>
      <c r="L2">
        <v>115711.44500000001</v>
      </c>
      <c r="M2">
        <v>120.3399</v>
      </c>
      <c r="O2" t="s">
        <v>18</v>
      </c>
      <c r="P2" s="5">
        <f>COUNTIF(G2:G10,"abs")</f>
        <v>0</v>
      </c>
    </row>
    <row r="3" spans="1:18" x14ac:dyDescent="0.2">
      <c r="A3" s="4"/>
      <c r="O3" t="s">
        <v>25</v>
      </c>
      <c r="P3" s="5">
        <f>COUNTIF(G2:G10,"pa")</f>
        <v>0</v>
      </c>
    </row>
    <row r="4" spans="1:18" x14ac:dyDescent="0.2">
      <c r="A4" s="4"/>
      <c r="O4" t="s">
        <v>24</v>
      </c>
      <c r="P4" s="5">
        <f>COUNTIF(G2:G10,"pe")</f>
        <v>0</v>
      </c>
    </row>
    <row r="5" spans="1:18" x14ac:dyDescent="0.2">
      <c r="A5" s="4"/>
      <c r="O5" t="s">
        <v>17</v>
      </c>
      <c r="P5" s="5">
        <f>COUNTIF(G2:G10,"pet")</f>
        <v>0</v>
      </c>
    </row>
    <row r="6" spans="1:18" x14ac:dyDescent="0.2">
      <c r="A6" s="4"/>
      <c r="O6" t="s">
        <v>41</v>
      </c>
      <c r="P6" s="5">
        <f>COUNTIF(G2:G10,"pp")</f>
        <v>0</v>
      </c>
    </row>
    <row r="7" spans="1:18" x14ac:dyDescent="0.2">
      <c r="A7" s="4"/>
      <c r="O7" t="s">
        <v>47</v>
      </c>
      <c r="P7" s="5">
        <f>COUNTIF(G2:G10,"ps")</f>
        <v>1</v>
      </c>
      <c r="Q7">
        <f>SUM(M2)</f>
        <v>120.3399</v>
      </c>
    </row>
    <row r="8" spans="1:18" x14ac:dyDescent="0.2">
      <c r="A8" s="4"/>
      <c r="O8" t="s">
        <v>53</v>
      </c>
      <c r="P8" s="5">
        <f>COUNTIF(G2:G10,"pu")</f>
        <v>0</v>
      </c>
    </row>
    <row r="9" spans="1:18" x14ac:dyDescent="0.2">
      <c r="A9" s="4"/>
      <c r="O9" t="s">
        <v>55</v>
      </c>
      <c r="P9" s="5">
        <f>COUNTIF(G2:G10,"pvc")</f>
        <v>0</v>
      </c>
    </row>
    <row r="10" spans="1:18" x14ac:dyDescent="0.2">
      <c r="A10" s="4"/>
      <c r="P10" s="5"/>
      <c r="Q10">
        <f>SUM(Q2:Q9)</f>
        <v>120.3399</v>
      </c>
      <c r="R10">
        <f>Q10-M11</f>
        <v>0</v>
      </c>
    </row>
    <row r="11" spans="1:18" ht="16" thickBot="1" x14ac:dyDescent="0.25">
      <c r="A11" s="6" t="s">
        <v>1192</v>
      </c>
      <c r="B11" s="7">
        <f>COUNTA(B2:B10)</f>
        <v>1</v>
      </c>
      <c r="C11" s="7">
        <f t="shared" ref="C11:I11" si="0">SUM(C2:C10)</f>
        <v>0</v>
      </c>
      <c r="D11" s="7">
        <f t="shared" si="0"/>
        <v>0</v>
      </c>
      <c r="E11" s="7">
        <f t="shared" si="0"/>
        <v>0</v>
      </c>
      <c r="F11" s="7">
        <f t="shared" si="0"/>
        <v>0</v>
      </c>
      <c r="G11" s="7">
        <f t="shared" si="0"/>
        <v>0</v>
      </c>
      <c r="H11" s="7">
        <f t="shared" si="0"/>
        <v>179</v>
      </c>
      <c r="I11" s="7">
        <f t="shared" si="0"/>
        <v>5414.8</v>
      </c>
      <c r="J11" s="7">
        <f>AVERAGE(J2:J10)</f>
        <v>129</v>
      </c>
      <c r="K11" s="7">
        <f>AVERAGE(K2:K10)</f>
        <v>53.4</v>
      </c>
      <c r="L11" s="7">
        <f>SUM(L2:L10)</f>
        <v>115711.44500000001</v>
      </c>
      <c r="M11" s="7">
        <f>SUM(M2:M10)</f>
        <v>120.3399</v>
      </c>
      <c r="P11" s="5"/>
    </row>
    <row r="12" spans="1:18" ht="16" thickTop="1" x14ac:dyDescent="0.2">
      <c r="A12" s="4"/>
      <c r="G12" t="s">
        <v>1186</v>
      </c>
      <c r="H12">
        <f>AVERAGE(H2:H10)</f>
        <v>179</v>
      </c>
      <c r="I12">
        <f>AVERAGE(I2:I10)</f>
        <v>5414.8</v>
      </c>
      <c r="J12">
        <f>AVERAGE(J2:J10)</f>
        <v>129</v>
      </c>
      <c r="K12">
        <f>AVERAGE(K2:K10)</f>
        <v>53.4</v>
      </c>
      <c r="M12">
        <f>AVERAGE(M2:M10)</f>
        <v>120.3399</v>
      </c>
      <c r="P12" s="5"/>
    </row>
    <row r="13" spans="1:18" x14ac:dyDescent="0.2">
      <c r="A13" s="4"/>
      <c r="G13" t="s">
        <v>1187</v>
      </c>
      <c r="H13">
        <f>_xlfn.STDEV.P(H2:H10)</f>
        <v>0</v>
      </c>
      <c r="I13">
        <f>_xlfn.STDEV.P(I2:I10)</f>
        <v>0</v>
      </c>
      <c r="J13">
        <f>_xlfn.STDEV.P(J2:J10)</f>
        <v>0</v>
      </c>
      <c r="K13">
        <f>_xlfn.STDEV.P(K2:K10)</f>
        <v>0</v>
      </c>
      <c r="M13">
        <f>_xlfn.STDEV.P(M2:M10)</f>
        <v>0</v>
      </c>
      <c r="P13" s="5"/>
    </row>
    <row r="14" spans="1:18" x14ac:dyDescent="0.2">
      <c r="A14" s="4"/>
      <c r="G14" t="s">
        <v>1188</v>
      </c>
      <c r="H14">
        <f>MIN(H2:H10)</f>
        <v>179</v>
      </c>
      <c r="I14">
        <f>MIN(I2:I10)</f>
        <v>5414.8</v>
      </c>
      <c r="J14">
        <f>MIN(J2:J10)</f>
        <v>129</v>
      </c>
      <c r="K14">
        <f>MIN(K2:K10)</f>
        <v>53.4</v>
      </c>
      <c r="M14">
        <f>MIN(M2:M10)</f>
        <v>120.3399</v>
      </c>
      <c r="P14" s="5"/>
    </row>
    <row r="15" spans="1:18" ht="16" thickBot="1" x14ac:dyDescent="0.25">
      <c r="A15" s="8"/>
      <c r="B15" s="9"/>
      <c r="C15" s="9"/>
      <c r="D15" s="9"/>
      <c r="E15" s="9"/>
      <c r="F15" s="9"/>
      <c r="G15" s="9" t="s">
        <v>1189</v>
      </c>
      <c r="H15" s="9">
        <f>MAX(H2:H10)</f>
        <v>179</v>
      </c>
      <c r="I15" s="9">
        <f>MAX(I2:I10)</f>
        <v>5414.8</v>
      </c>
      <c r="J15" s="9">
        <f>MAX(J2:J10)</f>
        <v>129</v>
      </c>
      <c r="K15" s="9">
        <f>MAX(K2:K10)</f>
        <v>53.4</v>
      </c>
      <c r="L15" s="9"/>
      <c r="M15" s="9">
        <f>MAX(M2:M10)</f>
        <v>120.3399</v>
      </c>
      <c r="N15" s="9"/>
      <c r="O15" s="9"/>
      <c r="P15" s="10"/>
    </row>
    <row r="16" spans="1:18" x14ac:dyDescent="0.2">
      <c r="A16" s="1" t="s">
        <v>1195</v>
      </c>
      <c r="B16" s="2" t="s">
        <v>1</v>
      </c>
      <c r="C16" s="2" t="s">
        <v>2</v>
      </c>
      <c r="D16" s="2"/>
      <c r="E16" s="2" t="s">
        <v>3</v>
      </c>
      <c r="F16" s="2"/>
      <c r="G16" s="2" t="s">
        <v>4</v>
      </c>
      <c r="H16" s="2" t="s">
        <v>5</v>
      </c>
      <c r="I16" s="2" t="s">
        <v>6</v>
      </c>
      <c r="J16" s="2" t="s">
        <v>7</v>
      </c>
      <c r="K16" s="2" t="s">
        <v>8</v>
      </c>
      <c r="L16" s="2" t="s">
        <v>9</v>
      </c>
      <c r="M16" s="2" t="s">
        <v>10</v>
      </c>
      <c r="N16" s="2" t="s">
        <v>11</v>
      </c>
      <c r="O16" s="2" t="s">
        <v>1190</v>
      </c>
      <c r="P16" s="3"/>
      <c r="Q16" t="s">
        <v>1238</v>
      </c>
    </row>
    <row r="17" spans="1:18" x14ac:dyDescent="0.2">
      <c r="A17" s="4"/>
      <c r="B17" t="s">
        <v>12</v>
      </c>
      <c r="C17" t="s">
        <v>1196</v>
      </c>
      <c r="D17" t="s">
        <v>274</v>
      </c>
      <c r="E17" t="s">
        <v>1197</v>
      </c>
      <c r="F17" t="s">
        <v>276</v>
      </c>
      <c r="G17" t="s">
        <v>24</v>
      </c>
      <c r="H17">
        <v>21</v>
      </c>
      <c r="I17">
        <v>635.29999999999995</v>
      </c>
      <c r="J17">
        <v>44.4</v>
      </c>
      <c r="K17">
        <v>18.2</v>
      </c>
      <c r="L17">
        <v>4629.8379999999997</v>
      </c>
      <c r="M17">
        <v>4.3983499999999998</v>
      </c>
      <c r="O17" t="s">
        <v>18</v>
      </c>
      <c r="P17" s="5">
        <f>COUNTIF(G17:G25,"abs")</f>
        <v>0</v>
      </c>
    </row>
    <row r="18" spans="1:18" x14ac:dyDescent="0.2">
      <c r="A18" s="4"/>
      <c r="O18" t="s">
        <v>25</v>
      </c>
      <c r="P18" s="5">
        <f>COUNTIF(G17:G25,"pa")</f>
        <v>0</v>
      </c>
    </row>
    <row r="19" spans="1:18" x14ac:dyDescent="0.2">
      <c r="A19" s="4"/>
      <c r="O19" t="s">
        <v>24</v>
      </c>
      <c r="P19" s="5">
        <f>COUNTIF(G17:G25,"pe")</f>
        <v>1</v>
      </c>
      <c r="Q19">
        <f>SUM(M17)</f>
        <v>4.3983499999999998</v>
      </c>
    </row>
    <row r="20" spans="1:18" x14ac:dyDescent="0.2">
      <c r="A20" s="4"/>
      <c r="O20" t="s">
        <v>17</v>
      </c>
      <c r="P20" s="5">
        <f>COUNTIF(G17:G25,"pet")</f>
        <v>0</v>
      </c>
    </row>
    <row r="21" spans="1:18" x14ac:dyDescent="0.2">
      <c r="A21" s="4"/>
      <c r="O21" t="s">
        <v>41</v>
      </c>
      <c r="P21" s="5">
        <f>COUNTIF(G17:G25,"pp")</f>
        <v>0</v>
      </c>
    </row>
    <row r="22" spans="1:18" x14ac:dyDescent="0.2">
      <c r="A22" s="4"/>
      <c r="O22" t="s">
        <v>47</v>
      </c>
      <c r="P22" s="5">
        <f>COUNTIF(G17:G25,"ps")</f>
        <v>0</v>
      </c>
    </row>
    <row r="23" spans="1:18" x14ac:dyDescent="0.2">
      <c r="A23" s="4"/>
      <c r="O23" t="s">
        <v>53</v>
      </c>
      <c r="P23" s="5">
        <f>COUNTIF(G17:G25,"pu")</f>
        <v>0</v>
      </c>
    </row>
    <row r="24" spans="1:18" x14ac:dyDescent="0.2">
      <c r="A24" s="4"/>
      <c r="O24" t="s">
        <v>55</v>
      </c>
      <c r="P24" s="5">
        <f>COUNTIF(G17:G25,"pvc")</f>
        <v>0</v>
      </c>
    </row>
    <row r="25" spans="1:18" x14ac:dyDescent="0.2">
      <c r="A25" s="4"/>
      <c r="P25" s="5"/>
      <c r="Q25">
        <f>SUM(Q17:Q24)</f>
        <v>4.3983499999999998</v>
      </c>
      <c r="R25">
        <f>Q25-M26</f>
        <v>0</v>
      </c>
    </row>
    <row r="26" spans="1:18" ht="16" thickBot="1" x14ac:dyDescent="0.25">
      <c r="A26" s="6" t="s">
        <v>1195</v>
      </c>
      <c r="B26" s="7">
        <f>COUNTA(B17:B25)</f>
        <v>1</v>
      </c>
      <c r="C26" s="7">
        <f t="shared" ref="C26:G26" si="1">SUM(C17:C25)</f>
        <v>0</v>
      </c>
      <c r="D26" s="7">
        <f t="shared" si="1"/>
        <v>0</v>
      </c>
      <c r="E26" s="7">
        <f t="shared" si="1"/>
        <v>0</v>
      </c>
      <c r="F26" s="7">
        <f t="shared" si="1"/>
        <v>0</v>
      </c>
      <c r="G26" s="7">
        <f t="shared" si="1"/>
        <v>0</v>
      </c>
      <c r="H26" s="7">
        <f>SUM(H17:H25)</f>
        <v>21</v>
      </c>
      <c r="I26" s="7">
        <f t="shared" ref="I26" si="2">SUM(I17:I25)</f>
        <v>635.29999999999995</v>
      </c>
      <c r="J26" s="7">
        <f>AVERAGE(J17:J25)</f>
        <v>44.4</v>
      </c>
      <c r="K26" s="7">
        <f>AVERAGE(K17:K25)</f>
        <v>18.2</v>
      </c>
      <c r="L26" s="7">
        <f>SUM(L17:L25)</f>
        <v>4629.8379999999997</v>
      </c>
      <c r="M26" s="7">
        <f>SUM(M17:M25)</f>
        <v>4.3983499999999998</v>
      </c>
      <c r="P26" s="5"/>
    </row>
    <row r="27" spans="1:18" ht="16" thickTop="1" x14ac:dyDescent="0.2">
      <c r="A27" s="4"/>
      <c r="G27" t="s">
        <v>1186</v>
      </c>
      <c r="H27">
        <f>AVERAGE(H17:H25)</f>
        <v>21</v>
      </c>
      <c r="I27">
        <f>AVERAGE(I17:I25)</f>
        <v>635.29999999999995</v>
      </c>
      <c r="J27">
        <f>AVERAGE(J17:J25)</f>
        <v>44.4</v>
      </c>
      <c r="K27">
        <f>AVERAGE(K17:K25)</f>
        <v>18.2</v>
      </c>
      <c r="M27">
        <f>AVERAGE(M17:M25)</f>
        <v>4.3983499999999998</v>
      </c>
      <c r="P27" s="5"/>
    </row>
    <row r="28" spans="1:18" x14ac:dyDescent="0.2">
      <c r="A28" s="4"/>
      <c r="G28" t="s">
        <v>1187</v>
      </c>
      <c r="H28">
        <f>_xlfn.STDEV.P(H17:H25)</f>
        <v>0</v>
      </c>
      <c r="I28">
        <f>_xlfn.STDEV.P(I17:I25)</f>
        <v>0</v>
      </c>
      <c r="J28">
        <f>_xlfn.STDEV.P(J17:J25)</f>
        <v>0</v>
      </c>
      <c r="K28">
        <f>_xlfn.STDEV.P(K17:K25)</f>
        <v>0</v>
      </c>
      <c r="M28">
        <f>_xlfn.STDEV.P(M17:M25)</f>
        <v>0</v>
      </c>
      <c r="P28" s="5"/>
    </row>
    <row r="29" spans="1:18" x14ac:dyDescent="0.2">
      <c r="A29" s="4"/>
      <c r="G29" t="s">
        <v>1188</v>
      </c>
      <c r="H29">
        <f>MIN(H17:H25)</f>
        <v>21</v>
      </c>
      <c r="I29">
        <f>MIN(I17:I25)</f>
        <v>635.29999999999995</v>
      </c>
      <c r="J29">
        <f>MIN(J17:J25)</f>
        <v>44.4</v>
      </c>
      <c r="K29">
        <f>MIN(K17:K25)</f>
        <v>18.2</v>
      </c>
      <c r="M29">
        <f>MIN(M17:M25)</f>
        <v>4.3983499999999998</v>
      </c>
      <c r="P29" s="5"/>
    </row>
    <row r="30" spans="1:18" ht="16" thickBot="1" x14ac:dyDescent="0.25">
      <c r="A30" s="8"/>
      <c r="B30" s="9"/>
      <c r="C30" s="9"/>
      <c r="D30" s="9"/>
      <c r="E30" s="9"/>
      <c r="F30" s="9"/>
      <c r="G30" s="9" t="s">
        <v>1189</v>
      </c>
      <c r="H30" s="9">
        <f>MAX(H17:H25)</f>
        <v>21</v>
      </c>
      <c r="I30" s="9">
        <f>MAX(I17:I25)</f>
        <v>635.29999999999995</v>
      </c>
      <c r="J30" s="9">
        <f>MAX(J17:J25)</f>
        <v>44.4</v>
      </c>
      <c r="K30" s="9">
        <f>MAX(K17:K25)</f>
        <v>18.2</v>
      </c>
      <c r="L30" s="9"/>
      <c r="M30" s="9">
        <f>MAX(M17:M25)</f>
        <v>4.3983499999999998</v>
      </c>
      <c r="N30" s="9"/>
      <c r="O30" s="9"/>
      <c r="P30" s="10"/>
    </row>
    <row r="31" spans="1:18" x14ac:dyDescent="0.2">
      <c r="A31" s="1" t="s">
        <v>1198</v>
      </c>
      <c r="B31" s="2" t="s">
        <v>1</v>
      </c>
      <c r="C31" s="2" t="s">
        <v>2</v>
      </c>
      <c r="D31" s="2"/>
      <c r="E31" s="2" t="s">
        <v>3</v>
      </c>
      <c r="F31" s="2"/>
      <c r="G31" s="2" t="s">
        <v>4</v>
      </c>
      <c r="H31" s="2" t="s">
        <v>5</v>
      </c>
      <c r="I31" s="2" t="s">
        <v>6</v>
      </c>
      <c r="J31" s="2" t="s">
        <v>7</v>
      </c>
      <c r="K31" s="2" t="s">
        <v>8</v>
      </c>
      <c r="L31" s="2" t="s">
        <v>9</v>
      </c>
      <c r="M31" s="2" t="s">
        <v>10</v>
      </c>
      <c r="N31" s="2" t="s">
        <v>11</v>
      </c>
      <c r="O31" s="2" t="s">
        <v>1190</v>
      </c>
      <c r="P31" s="3"/>
      <c r="Q31" t="s">
        <v>1238</v>
      </c>
    </row>
    <row r="32" spans="1:18" x14ac:dyDescent="0.2">
      <c r="A32" s="4"/>
      <c r="B32" t="s">
        <v>12</v>
      </c>
      <c r="C32" t="s">
        <v>1199</v>
      </c>
      <c r="D32" t="s">
        <v>1200</v>
      </c>
      <c r="E32" t="s">
        <v>1201</v>
      </c>
      <c r="F32" t="s">
        <v>1202</v>
      </c>
      <c r="G32" t="s">
        <v>25</v>
      </c>
      <c r="H32">
        <v>19</v>
      </c>
      <c r="I32">
        <v>574.79999999999995</v>
      </c>
      <c r="J32">
        <v>30.1</v>
      </c>
      <c r="K32">
        <v>24.3</v>
      </c>
      <c r="L32">
        <v>5589.9579999999996</v>
      </c>
      <c r="M32">
        <v>6.3725500000000004</v>
      </c>
      <c r="O32" t="s">
        <v>18</v>
      </c>
      <c r="P32" s="5">
        <f>COUNTIF(G32:G43,"abs")</f>
        <v>0</v>
      </c>
    </row>
    <row r="33" spans="1:18" x14ac:dyDescent="0.2">
      <c r="A33" s="4"/>
      <c r="B33" t="s">
        <v>19</v>
      </c>
      <c r="C33" t="s">
        <v>1203</v>
      </c>
      <c r="D33" t="s">
        <v>1204</v>
      </c>
      <c r="E33" t="s">
        <v>1205</v>
      </c>
      <c r="F33" t="s">
        <v>1206</v>
      </c>
      <c r="G33" t="s">
        <v>17</v>
      </c>
      <c r="H33">
        <v>96</v>
      </c>
      <c r="I33">
        <v>2904</v>
      </c>
      <c r="J33">
        <v>124.3</v>
      </c>
      <c r="K33">
        <v>29.8</v>
      </c>
      <c r="L33">
        <v>34559.629000000001</v>
      </c>
      <c r="M33">
        <v>47.69229</v>
      </c>
      <c r="O33" t="s">
        <v>25</v>
      </c>
      <c r="P33" s="5">
        <f>COUNTIF(G32:G43,"pa")</f>
        <v>1</v>
      </c>
      <c r="Q33">
        <f>SUM(M32)</f>
        <v>6.3725500000000004</v>
      </c>
    </row>
    <row r="34" spans="1:18" x14ac:dyDescent="0.2">
      <c r="A34" s="4"/>
      <c r="B34" t="s">
        <v>26</v>
      </c>
      <c r="C34" t="s">
        <v>1207</v>
      </c>
      <c r="D34" t="s">
        <v>1208</v>
      </c>
      <c r="E34" t="s">
        <v>1209</v>
      </c>
      <c r="F34" t="s">
        <v>1210</v>
      </c>
      <c r="G34" t="s">
        <v>17</v>
      </c>
      <c r="H34">
        <v>65</v>
      </c>
      <c r="I34">
        <v>1966.3</v>
      </c>
      <c r="J34">
        <v>87.6</v>
      </c>
      <c r="K34">
        <v>28.6</v>
      </c>
      <c r="L34">
        <v>22475.342000000001</v>
      </c>
      <c r="M34">
        <v>31.015969999999999</v>
      </c>
      <c r="O34" t="s">
        <v>24</v>
      </c>
      <c r="P34" s="5">
        <f>COUNTIF(G32:G43,"pe")</f>
        <v>4</v>
      </c>
      <c r="Q34">
        <f>SUM(M39:M42)</f>
        <v>14.421050000000001</v>
      </c>
    </row>
    <row r="35" spans="1:18" x14ac:dyDescent="0.2">
      <c r="A35" s="4"/>
      <c r="B35" t="s">
        <v>31</v>
      </c>
      <c r="C35" t="s">
        <v>1211</v>
      </c>
      <c r="D35" t="s">
        <v>1212</v>
      </c>
      <c r="E35" t="s">
        <v>1213</v>
      </c>
      <c r="F35" t="s">
        <v>1214</v>
      </c>
      <c r="G35" t="s">
        <v>17</v>
      </c>
      <c r="H35">
        <v>31</v>
      </c>
      <c r="I35">
        <v>937.8</v>
      </c>
      <c r="J35">
        <v>59.6</v>
      </c>
      <c r="K35">
        <v>20</v>
      </c>
      <c r="L35">
        <v>7510.2550000000001</v>
      </c>
      <c r="M35">
        <v>10.36415</v>
      </c>
      <c r="O35" t="s">
        <v>17</v>
      </c>
      <c r="P35" s="5">
        <f>COUNTIF(G32:G43,"pet")</f>
        <v>6</v>
      </c>
      <c r="Q35">
        <f>SUM(M33:M38)</f>
        <v>557.83197999999993</v>
      </c>
    </row>
    <row r="36" spans="1:18" x14ac:dyDescent="0.2">
      <c r="A36" s="4"/>
      <c r="B36" t="s">
        <v>36</v>
      </c>
      <c r="C36" t="s">
        <v>1215</v>
      </c>
      <c r="D36" t="s">
        <v>1216</v>
      </c>
      <c r="E36" t="s">
        <v>1217</v>
      </c>
      <c r="F36" t="s">
        <v>1218</v>
      </c>
      <c r="G36" t="s">
        <v>17</v>
      </c>
      <c r="H36">
        <v>289</v>
      </c>
      <c r="I36">
        <v>8742.2999999999993</v>
      </c>
      <c r="J36">
        <v>153.9</v>
      </c>
      <c r="K36">
        <v>72.3</v>
      </c>
      <c r="L36">
        <v>252942.17199999999</v>
      </c>
      <c r="M36">
        <v>349.06018999999998</v>
      </c>
      <c r="O36" t="s">
        <v>41</v>
      </c>
      <c r="P36" s="5">
        <f>COUNTIF(G32:G43,"pp")</f>
        <v>0</v>
      </c>
    </row>
    <row r="37" spans="1:18" x14ac:dyDescent="0.2">
      <c r="A37" s="4"/>
      <c r="B37" t="s">
        <v>42</v>
      </c>
      <c r="C37" t="s">
        <v>456</v>
      </c>
      <c r="D37" t="s">
        <v>1219</v>
      </c>
      <c r="E37" t="s">
        <v>1220</v>
      </c>
      <c r="F37" t="s">
        <v>1221</v>
      </c>
      <c r="G37" t="s">
        <v>17</v>
      </c>
      <c r="H37">
        <v>40</v>
      </c>
      <c r="I37">
        <v>1210</v>
      </c>
      <c r="J37">
        <v>59.2</v>
      </c>
      <c r="K37">
        <v>26</v>
      </c>
      <c r="L37">
        <v>12590.091</v>
      </c>
      <c r="M37">
        <v>17.37433</v>
      </c>
      <c r="O37" t="s">
        <v>47</v>
      </c>
      <c r="P37" s="5">
        <f>COUNTIF(G32:G43,"ps")</f>
        <v>0</v>
      </c>
    </row>
    <row r="38" spans="1:18" x14ac:dyDescent="0.2">
      <c r="A38" s="4"/>
      <c r="B38" t="s">
        <v>48</v>
      </c>
      <c r="C38" t="s">
        <v>1222</v>
      </c>
      <c r="D38" t="s">
        <v>1223</v>
      </c>
      <c r="E38" t="s">
        <v>1224</v>
      </c>
      <c r="F38" t="s">
        <v>1225</v>
      </c>
      <c r="G38" t="s">
        <v>17</v>
      </c>
      <c r="H38">
        <v>146</v>
      </c>
      <c r="I38">
        <v>4416.5</v>
      </c>
      <c r="J38">
        <v>134</v>
      </c>
      <c r="K38">
        <v>42</v>
      </c>
      <c r="L38">
        <v>74148.585999999996</v>
      </c>
      <c r="M38">
        <v>102.32505</v>
      </c>
      <c r="O38" t="s">
        <v>53</v>
      </c>
      <c r="P38" s="5">
        <f>COUNTIF(G32:G43,"pu")</f>
        <v>0</v>
      </c>
    </row>
    <row r="39" spans="1:18" x14ac:dyDescent="0.2">
      <c r="B39" t="s">
        <v>84</v>
      </c>
      <c r="C39" t="s">
        <v>311</v>
      </c>
      <c r="D39" t="s">
        <v>1226</v>
      </c>
      <c r="E39" t="s">
        <v>313</v>
      </c>
      <c r="F39" t="s">
        <v>1227</v>
      </c>
      <c r="G39" t="s">
        <v>24</v>
      </c>
      <c r="H39">
        <v>9</v>
      </c>
      <c r="I39">
        <v>272.3</v>
      </c>
      <c r="J39">
        <v>22.9</v>
      </c>
      <c r="K39">
        <v>15.1</v>
      </c>
      <c r="L39">
        <v>1648.9680000000001</v>
      </c>
      <c r="M39">
        <v>1.5665199999999999</v>
      </c>
      <c r="O39" t="s">
        <v>55</v>
      </c>
      <c r="P39" s="5">
        <f>COUNTIF(G32:G43,"pvc")</f>
        <v>0</v>
      </c>
    </row>
    <row r="40" spans="1:18" x14ac:dyDescent="0.2">
      <c r="A40" s="4"/>
      <c r="B40" t="s">
        <v>89</v>
      </c>
      <c r="C40" t="s">
        <v>1228</v>
      </c>
      <c r="D40" t="s">
        <v>1229</v>
      </c>
      <c r="E40" t="s">
        <v>1230</v>
      </c>
      <c r="F40" t="s">
        <v>1231</v>
      </c>
      <c r="G40" t="s">
        <v>24</v>
      </c>
      <c r="H40">
        <v>34</v>
      </c>
      <c r="I40">
        <v>1028.5</v>
      </c>
      <c r="J40">
        <v>46.5</v>
      </c>
      <c r="K40">
        <v>28.2</v>
      </c>
      <c r="L40">
        <v>11594.849</v>
      </c>
      <c r="M40">
        <v>11.01511</v>
      </c>
      <c r="P40" s="5"/>
      <c r="Q40">
        <f>SUM(Q32:Q39)</f>
        <v>578.6255799999999</v>
      </c>
      <c r="R40">
        <f>Q40-M44</f>
        <v>0</v>
      </c>
    </row>
    <row r="41" spans="1:18" x14ac:dyDescent="0.2">
      <c r="A41" s="4"/>
      <c r="B41" t="s">
        <v>94</v>
      </c>
      <c r="C41" t="s">
        <v>1232</v>
      </c>
      <c r="D41" t="s">
        <v>1233</v>
      </c>
      <c r="E41" t="s">
        <v>1234</v>
      </c>
      <c r="F41" t="s">
        <v>1235</v>
      </c>
      <c r="G41" t="s">
        <v>24</v>
      </c>
      <c r="H41">
        <v>7</v>
      </c>
      <c r="I41">
        <v>211.8</v>
      </c>
      <c r="J41">
        <v>30.1</v>
      </c>
      <c r="K41">
        <v>9</v>
      </c>
      <c r="L41">
        <v>758.74800000000005</v>
      </c>
      <c r="M41">
        <v>0.72080999999999995</v>
      </c>
      <c r="P41" s="5"/>
    </row>
    <row r="42" spans="1:18" x14ac:dyDescent="0.2">
      <c r="A42" s="4"/>
      <c r="B42" t="s">
        <v>99</v>
      </c>
      <c r="C42" t="s">
        <v>588</v>
      </c>
      <c r="D42" t="s">
        <v>1236</v>
      </c>
      <c r="E42" t="s">
        <v>589</v>
      </c>
      <c r="F42" t="s">
        <v>1237</v>
      </c>
      <c r="G42" t="s">
        <v>24</v>
      </c>
      <c r="H42">
        <v>8</v>
      </c>
      <c r="I42">
        <v>242</v>
      </c>
      <c r="J42">
        <v>25.3</v>
      </c>
      <c r="K42">
        <v>12.2</v>
      </c>
      <c r="L42">
        <v>1177.4880000000001</v>
      </c>
      <c r="M42">
        <v>1.1186100000000001</v>
      </c>
      <c r="P42" s="5"/>
    </row>
    <row r="43" spans="1:18" x14ac:dyDescent="0.2">
      <c r="A43" s="4"/>
      <c r="P43" s="5"/>
    </row>
    <row r="44" spans="1:18" ht="16" thickBot="1" x14ac:dyDescent="0.25">
      <c r="A44" s="6" t="s">
        <v>1198</v>
      </c>
      <c r="B44" s="7">
        <f>COUNTA(B32:B43)</f>
        <v>11</v>
      </c>
      <c r="C44" s="7">
        <f t="shared" ref="C44:I44" si="3">SUM(C32:C43)</f>
        <v>0</v>
      </c>
      <c r="D44" s="7">
        <f t="shared" si="3"/>
        <v>0</v>
      </c>
      <c r="E44" s="7">
        <f t="shared" si="3"/>
        <v>0</v>
      </c>
      <c r="F44" s="7">
        <f t="shared" si="3"/>
        <v>0</v>
      </c>
      <c r="G44" s="7">
        <f t="shared" si="3"/>
        <v>0</v>
      </c>
      <c r="H44" s="7">
        <f t="shared" si="3"/>
        <v>744</v>
      </c>
      <c r="I44" s="7">
        <f t="shared" si="3"/>
        <v>22506.3</v>
      </c>
      <c r="J44" s="7">
        <f>AVERAGE(J32:J43)</f>
        <v>70.318181818181813</v>
      </c>
      <c r="K44" s="7">
        <f>AVERAGE(K32:K43)</f>
        <v>27.954545454545453</v>
      </c>
      <c r="L44" s="7">
        <f>SUM(L32:L43)</f>
        <v>424996.08600000007</v>
      </c>
      <c r="M44" s="7">
        <f>SUM(M32:M43)</f>
        <v>578.62558000000001</v>
      </c>
      <c r="P44" s="5"/>
    </row>
    <row r="45" spans="1:18" ht="16" thickTop="1" x14ac:dyDescent="0.2">
      <c r="A45" s="4"/>
      <c r="G45" t="s">
        <v>1186</v>
      </c>
      <c r="H45">
        <f>AVERAGE(H32:H43)</f>
        <v>67.63636363636364</v>
      </c>
      <c r="I45">
        <f>AVERAGE(I32:I43)</f>
        <v>2046.0272727272727</v>
      </c>
      <c r="J45">
        <f>AVERAGE(J32:J43)</f>
        <v>70.318181818181813</v>
      </c>
      <c r="K45">
        <f>AVERAGE(K32:K43)</f>
        <v>27.954545454545453</v>
      </c>
      <c r="M45">
        <f>AVERAGE(M32:M43)</f>
        <v>52.602325454545458</v>
      </c>
      <c r="P45" s="5"/>
    </row>
    <row r="46" spans="1:18" x14ac:dyDescent="0.2">
      <c r="A46" s="4"/>
      <c r="G46" t="s">
        <v>1187</v>
      </c>
      <c r="H46">
        <f>_xlfn.STDEV.P(H32:H43)</f>
        <v>81.032286188646296</v>
      </c>
      <c r="I46">
        <f>_xlfn.STDEV.P(I32:I43)</f>
        <v>2451.2274528529242</v>
      </c>
      <c r="J46">
        <f>_xlfn.STDEV.P(J32:J43)</f>
        <v>45.296915772626242</v>
      </c>
      <c r="K46">
        <f>_xlfn.STDEV.P(K32:K43)</f>
        <v>16.571737366336791</v>
      </c>
      <c r="M46">
        <f>_xlfn.STDEV.P(M32:M43)</f>
        <v>98.020580295263883</v>
      </c>
      <c r="P46" s="5"/>
    </row>
    <row r="47" spans="1:18" x14ac:dyDescent="0.2">
      <c r="A47" s="4"/>
      <c r="G47" t="s">
        <v>1188</v>
      </c>
      <c r="H47">
        <f>MIN(H32:H43)</f>
        <v>7</v>
      </c>
      <c r="I47">
        <f>MIN(I32:I43)</f>
        <v>211.8</v>
      </c>
      <c r="J47">
        <f>MIN(J32:J43)</f>
        <v>22.9</v>
      </c>
      <c r="K47">
        <f>MIN(K32:K43)</f>
        <v>9</v>
      </c>
      <c r="M47">
        <f>MIN(M32:M43)</f>
        <v>0.72080999999999995</v>
      </c>
      <c r="P47" s="5"/>
    </row>
    <row r="48" spans="1:18" ht="16" thickBot="1" x14ac:dyDescent="0.25">
      <c r="A48" s="8"/>
      <c r="B48" s="9"/>
      <c r="C48" s="9"/>
      <c r="D48" s="9"/>
      <c r="E48" s="9"/>
      <c r="F48" s="9"/>
      <c r="G48" s="9" t="s">
        <v>1189</v>
      </c>
      <c r="H48" s="9">
        <f>MAX(H32:H43)</f>
        <v>289</v>
      </c>
      <c r="I48" s="9">
        <f>MAX(I32:I43)</f>
        <v>8742.2999999999993</v>
      </c>
      <c r="J48" s="9">
        <f>MAX(J32:J43)</f>
        <v>153.9</v>
      </c>
      <c r="K48" s="9">
        <f>MAX(K32:K43)</f>
        <v>72.3</v>
      </c>
      <c r="L48" s="9"/>
      <c r="M48" s="9">
        <f>MAX(M32:M43)</f>
        <v>349.06018999999998</v>
      </c>
      <c r="N48" s="9"/>
      <c r="O48" s="9"/>
      <c r="P4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Corrected concentrations</vt:lpstr>
      <vt:lpstr>Polymer types</vt:lpstr>
      <vt:lpstr>Particle sizes</vt:lpstr>
      <vt:lpstr>Raw data - samples</vt:lpstr>
      <vt:lpstr>Raw data - 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Uurasjärvi</dc:creator>
  <cp:lastModifiedBy>Mair, Magdalena</cp:lastModifiedBy>
  <dcterms:created xsi:type="dcterms:W3CDTF">2021-06-01T12:22:25Z</dcterms:created>
  <dcterms:modified xsi:type="dcterms:W3CDTF">2024-06-19T11:27:52Z</dcterms:modified>
</cp:coreProperties>
</file>