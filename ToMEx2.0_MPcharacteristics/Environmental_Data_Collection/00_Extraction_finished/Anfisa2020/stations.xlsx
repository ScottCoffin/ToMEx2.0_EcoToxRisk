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fisa"/>
  <workbookPr/>
  <bookViews>
    <workbookView activeTab="0" xWindow="240" yWindow="60" windowWidth="16380" windowHeight="8190" tabRatio="500"/>
  </bookViews>
  <sheets>
    <sheet name="st_surf" sheetId="1" r:id="rId4"/>
    <sheet name="st_sub" sheetId="2" r:id="rId5"/>
    <sheet name="st_sub_start_end" sheetId="3" r:id="rId6"/>
  </sheets>
  <definedNames>
    <definedName name="_xlnm._FilterDatabase" localSheetId="2" hidden="1">st_sub_start_end!$H$1:$H$121</definedName>
  </definedNames>
  <calcPr iterateDelta="0.0001"/>
  <extLst>
    <ext uri="smNativeData">
      <pm:revision xmlns:pm="smNativeData" day="1605907435" val="976" rev="124" rev64="64" revOS="3" revMin="124" revMax="0"/>
      <pm:docPrefs xmlns:pm="smNativeData" id="1605907435" fixedDigits="0" showNotice="1" showFrameBounds="1" autoChart="1" recalcOnPrint="1" recalcOnCopy="1" finalRounding="1" compatTextArt="1" tab="567" useDefinedPrintRange="1" printArea="currentSheet"/>
      <pm:compatibility xmlns:pm="smNativeData" id="1605907435" overlapCells="1"/>
      <pm:defCurrency xmlns:pm="smNativeData" id="1605907435"/>
    </ext>
  </extLst>
</workbook>
</file>

<file path=xl/sharedStrings.xml><?xml version="1.0" encoding="utf-8"?>
<sst xmlns="http://schemas.openxmlformats.org/spreadsheetml/2006/main" count="595" uniqueCount="183">
  <si>
    <t>st</t>
  </si>
  <si>
    <t>Lat</t>
  </si>
  <si>
    <t>Lon</t>
  </si>
  <si>
    <t>Sea</t>
  </si>
  <si>
    <t>Salinity</t>
  </si>
  <si>
    <t>Time</t>
  </si>
  <si>
    <t>Datetime</t>
  </si>
  <si>
    <t>Mass, g/m3</t>
  </si>
  <si>
    <t>items</t>
  </si>
  <si>
    <t>Mean Size</t>
  </si>
  <si>
    <t>items/m3</t>
  </si>
  <si>
    <t>items/km2</t>
  </si>
  <si>
    <t>Hours from start</t>
  </si>
  <si>
    <t>Temperature</t>
  </si>
  <si>
    <t>Wind speed, m/s</t>
  </si>
  <si>
    <t>wm_new</t>
  </si>
  <si>
    <t>vol</t>
  </si>
  <si>
    <t>S_01</t>
  </si>
  <si>
    <t>Barents Sea</t>
  </si>
  <si>
    <t>14:30:00</t>
  </si>
  <si>
    <t>Atlantic surface water</t>
  </si>
  <si>
    <t>S_02</t>
  </si>
  <si>
    <t>20:15:00</t>
  </si>
  <si>
    <t>S_03</t>
  </si>
  <si>
    <t>Kara Sea</t>
  </si>
  <si>
    <t>08:25:00</t>
  </si>
  <si>
    <t>S_04</t>
  </si>
  <si>
    <t>20:00:00</t>
  </si>
  <si>
    <t>S_05</t>
  </si>
  <si>
    <t>18:35:00</t>
  </si>
  <si>
    <t>Outer Plume</t>
  </si>
  <si>
    <t>S_06</t>
  </si>
  <si>
    <t>19:50:00</t>
  </si>
  <si>
    <t>S_07</t>
  </si>
  <si>
    <t>02:00:00</t>
  </si>
  <si>
    <t>S_08</t>
  </si>
  <si>
    <t>08:50:00</t>
  </si>
  <si>
    <t>S_09</t>
  </si>
  <si>
    <t>Inner Plume</t>
  </si>
  <si>
    <t>S_10</t>
  </si>
  <si>
    <t>08:00:00</t>
  </si>
  <si>
    <t>S_11</t>
  </si>
  <si>
    <t>19:00:00</t>
  </si>
  <si>
    <t>S_12</t>
  </si>
  <si>
    <t>Polar surface water</t>
  </si>
  <si>
    <t>S_13</t>
  </si>
  <si>
    <t>Laptev Sea</t>
  </si>
  <si>
    <t>S_14</t>
  </si>
  <si>
    <t>S_15</t>
  </si>
  <si>
    <t>09:42:00</t>
  </si>
  <si>
    <t>S_16</t>
  </si>
  <si>
    <t>20:50:00</t>
  </si>
  <si>
    <t>S_17</t>
  </si>
  <si>
    <t>S_18</t>
  </si>
  <si>
    <t>S_19</t>
  </si>
  <si>
    <t>East Siberian Sea</t>
  </si>
  <si>
    <t>22:53:00</t>
  </si>
  <si>
    <t>S_20</t>
  </si>
  <si>
    <t>09:20:00</t>
  </si>
  <si>
    <t>S_21</t>
  </si>
  <si>
    <t>08:35:00</t>
  </si>
  <si>
    <t>S_22</t>
  </si>
  <si>
    <t>13:11:00</t>
  </si>
  <si>
    <t>S_23</t>
  </si>
  <si>
    <t>S_24</t>
  </si>
  <si>
    <t>S_25</t>
  </si>
  <si>
    <t>21:50:00</t>
  </si>
  <si>
    <t>S_26</t>
  </si>
  <si>
    <t>09:15:00</t>
  </si>
  <si>
    <t>S_27</t>
  </si>
  <si>
    <t>18:05:00</t>
  </si>
  <si>
    <t>S_28</t>
  </si>
  <si>
    <t>09:13:00</t>
  </si>
  <si>
    <t>S_29</t>
  </si>
  <si>
    <t>S_30</t>
  </si>
  <si>
    <t>12:04:00</t>
  </si>
  <si>
    <t>S_31</t>
  </si>
  <si>
    <t>16:30:00</t>
  </si>
  <si>
    <t>S_32</t>
  </si>
  <si>
    <t>21:00:00</t>
  </si>
  <si>
    <t>S_33</t>
  </si>
  <si>
    <t>12:35:00</t>
  </si>
  <si>
    <t>S_34</t>
  </si>
  <si>
    <t>S_35</t>
  </si>
  <si>
    <t>13:15:00</t>
  </si>
  <si>
    <t>S_36</t>
  </si>
  <si>
    <t>02:30:00</t>
  </si>
  <si>
    <t>S_37</t>
  </si>
  <si>
    <t>00:57:00</t>
  </si>
  <si>
    <t>S_38</t>
  </si>
  <si>
    <t>04:00:00</t>
  </si>
  <si>
    <t>S_39</t>
  </si>
  <si>
    <t>10:40:00</t>
  </si>
  <si>
    <t>S_40</t>
  </si>
  <si>
    <t>09:30:00</t>
  </si>
  <si>
    <t>S_41</t>
  </si>
  <si>
    <t>17:35:00</t>
  </si>
  <si>
    <t>S_42</t>
  </si>
  <si>
    <t>S_43</t>
  </si>
  <si>
    <t>S_44</t>
  </si>
  <si>
    <t>S_45</t>
  </si>
  <si>
    <t>S_46</t>
  </si>
  <si>
    <t>S_47</t>
  </si>
  <si>
    <t>14:00:00</t>
  </si>
  <si>
    <t>S_48</t>
  </si>
  <si>
    <t>v</t>
  </si>
  <si>
    <t>Mean datetime</t>
  </si>
  <si>
    <t>tot/m3</t>
  </si>
  <si>
    <t>frag/m3</t>
  </si>
  <si>
    <t>fibre/m3</t>
  </si>
  <si>
    <t>Mean size</t>
  </si>
  <si>
    <t>Mass, mkg/m3</t>
  </si>
  <si>
    <t>tot_nf, #/m3</t>
  </si>
  <si>
    <t>vel, m/s</t>
  </si>
  <si>
    <t>P-02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</si>
  <si>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</si>
  <si>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</si>
  <si>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</si>
  <si>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</si>
  <si>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</si>
  <si>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</si>
  <si>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</si>
  <si>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</si>
  <si>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</si>
  <si>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</si>
  <si>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</si>
  <si>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</si>
  <si>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</si>
  <si>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</si>
  <si>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</si>
  <si>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</si>
  <si>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</si>
  <si>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</si>
  <si>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</si>
  <si>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</si>
  <si>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</si>
  <si>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</si>
  <si>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</si>
  <si>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</si>
  <si>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</si>
  <si>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</si>
  <si>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</si>
  <si>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</si>
  <si>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</si>
  <si>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</si>
  <si>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</si>
  <si>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R-33</t>
  </si>
  <si>
    <t>R-34</t>
  </si>
  <si>
    <t>R-35</t>
  </si>
  <si>
    <t>R-36</t>
  </si>
  <si>
    <t>R-37</t>
  </si>
  <si>
    <t>R-38</t>
  </si>
  <si>
    <t>R-39</t>
  </si>
  <si>
    <t>R-40</t>
  </si>
  <si>
    <t>R-41</t>
  </si>
  <si>
    <t>R-42</t>
  </si>
  <si>
    <t>R-43</t>
  </si>
  <si>
    <t>R-44</t>
  </si>
  <si>
    <t>R-45</t>
  </si>
  <si>
    <t>R-46</t>
  </si>
  <si>
    <t>R-47</t>
  </si>
  <si>
    <t>R-48</t>
  </si>
  <si>
    <t>R-49</t>
  </si>
  <si>
    <t>R-50</t>
  </si>
  <si>
    <t>R-51</t>
  </si>
  <si>
    <t>R-52</t>
  </si>
  <si>
    <t>R-54</t>
  </si>
  <si>
    <t>R-55</t>
  </si>
  <si>
    <t>R-56</t>
  </si>
  <si>
    <t>R-57</t>
  </si>
  <si>
    <t>R-58</t>
  </si>
  <si>
    <t>R-59</t>
  </si>
  <si>
    <t>R-60</t>
  </si>
  <si>
    <t>R-61</t>
  </si>
  <si>
    <t>№</t>
  </si>
  <si>
    <t>Дата</t>
  </si>
  <si>
    <t>Время</t>
  </si>
  <si>
    <t>lat</t>
  </si>
  <si>
    <t>lon</t>
  </si>
  <si>
    <t>Comment</t>
  </si>
  <si>
    <t>Р-02</t>
  </si>
  <si>
    <t>start</t>
  </si>
  <si>
    <t>stop</t>
  </si>
</sst>
</file>

<file path=xl/styles.xml><?xml version="1.0" encoding="utf-8"?>
<styleSheet xmlns="http://schemas.openxmlformats.org/spreadsheetml/2006/main">
  <numFmts count="1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YYYY\-MM\-DD\ hh:mm:ss"/>
    <numFmt numFmtId="165" formatCode="DD/MM/YYYY"/>
    <numFmt numFmtId="166" formatCode="hh:mm"/>
    <numFmt numFmtId="167" formatCode="DD/MM/YYYY\ hh:mm:ss"/>
    <numFmt numFmtId="168" formatCode="DD/MM/YY\ hh:mm"/>
    <numFmt numFmtId="169" formatCode="_(_$* #,##0.00_);_(_$* (#,##0.00);_(_$* &quot;-&quot;????_);_(@_)"/>
    <numFmt numFmtId="170" formatCode="_(_$* #,##0_);_(_$* (#,##0);_(_$* &quot;-&quot;_);_(@_)"/>
    <numFmt numFmtId="171" formatCode="_(&quot;$&quot;* #,##0.00_);_(&quot;$&quot;* (#,##0.00);_(&quot;$&quot;* &quot;-&quot;????_);_(@_)"/>
    <numFmt numFmtId="172" formatCode="_(&quot;$&quot;* #,##0_);_(&quot;$&quot;* (#,##0);_(&quot;$&quot;* &quot;-&quot;_);_(@_)"/>
    <numFmt numFmtId="9" formatCode="0%"/>
  </numFmts>
  <fonts count="5">
    <font>
      <name val="Calibri"/>
      <family val="2"/>
      <color rgb="FF000000"/>
      <sz val="11"/>
      <extLst>
        <ext uri="smNativeData">
          <pm:charSpec xmlns:pm="smNativeData" id="1605907435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60590743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05907435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mbria"/>
      <family val="2"/>
      <b/>
      <color rgb="FF000000"/>
      <sz val="11"/>
      <extLst>
        <ext uri="smNativeData">
          <pm:charSpec xmlns:pm="smNativeData" id="1605907435" ulstyle="none" kern="1">
            <pm:latin face="Cambria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Times New Roman"/>
      <family val="1"/>
      <color rgb="FF000000"/>
      <sz val="11"/>
      <extLst>
        <ext uri="smNativeData">
          <pm:charSpec xmlns:pm="smNativeData" id="1605907435" ulstyle="none" kern="1">
            <pm:latin face="Times New Roman" sz="220" lang="default"/>
            <pm:cs face="Basic Roman" sz="220" lang="default"/>
            <pm:ea face="Basic Roman" sz="22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AA95"/>
        <bgColor rgb="FFFFFFFF"/>
        <extLst>
          <ext uri="smNativeData">
            <pm:shade xmlns:pm="smNativeData" id="1605907435" type="1" fgLvl="100" fgClr="00FFAA95" bgLvl="0" bgClr="00FFCC99"/>
          </ext>
        </extLst>
      </patternFill>
    </fill>
    <fill>
      <patternFill patternType="solid">
        <fgColor rgb="FF729FCF"/>
        <bgColor rgb="FFFFFFFF"/>
        <extLst>
          <ext uri="smNativeData">
            <pm:shade xmlns:pm="smNativeData" id="1605907435" type="1" fgLvl="100" fgClr="00729FCF" bgLvl="0" bgClr="00969696"/>
          </ext>
        </extLst>
      </patternFill>
    </fill>
    <fill>
      <patternFill patternType="solid">
        <fgColor rgb="FFAFD095"/>
        <bgColor rgb="FFFFFFFF"/>
        <extLst>
          <ext uri="smNativeData">
            <pm:shade xmlns:pm="smNativeData" id="1605907435" type="1" fgLvl="100" fgClr="00AFD095" bgLvl="0" bgClr="0099CCFF"/>
          </ext>
        </extLst>
      </patternFill>
    </fill>
    <fill>
      <patternFill patternType="solid">
        <fgColor rgb="FFFBE5D6"/>
        <bgColor rgb="FFFFFFFF"/>
        <extLst>
          <ext uri="smNativeData">
            <pm:shade xmlns:pm="smNativeData" id="1605907435" type="1" fgLvl="100" fgClr="00FBE5D6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5907435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590743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059074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590743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590743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590743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0590743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5907435"/>
        </ext>
      </extLst>
    </border>
  </borders>
  <cellStyleXfs count="6">
    <xf numFmtId="0" fontId="0" fillId="0" borderId="0" applyNumberFormat="1" applyFont="1" applyFill="1" applyBorder="1" applyAlignment="1" applyProtection="1"/>
    <xf numFmtId="169" fontId="2" fillId="0" borderId="0" applyNumberFormat="1" applyFont="1" applyFill="1" applyBorder="0" applyAlignment="0" applyProtection="0"/>
    <xf numFmtId="170" fontId="2" fillId="0" borderId="0" applyNumberFormat="1" applyFont="1" applyFill="1" applyBorder="0" applyAlignment="0" applyProtection="0"/>
    <xf numFmtId="171" fontId="2" fillId="0" borderId="0" applyNumberFormat="1" applyFont="1" applyFill="1" applyBorder="0" applyAlignment="0" applyProtection="0"/>
    <xf numFmtId="172" fontId="2" fillId="0" borderId="0" applyNumberFormat="1" applyFont="1" applyFill="1" applyBorder="0" applyAlignment="0" applyProtection="0"/>
    <xf numFmtId="9" fontId="2" fillId="0" borderId="0" applyNumberFormat="1" applyFont="1" applyFill="1" applyBorder="0" applyAlignment="0" applyProtection="0"/>
  </cellStyleXfs>
  <cellXfs count="29">
    <xf numFmtId="0" fontId="0" fillId="0" borderId="0" xfId="0"/>
    <xf numFmtId="169" fontId="2" fillId="0" borderId="0" xfId="1"/>
    <xf numFmtId="170" fontId="2" fillId="0" borderId="0" xfId="2"/>
    <xf numFmtId="171" fontId="2" fillId="0" borderId="0" xfId="3"/>
    <xf numFmtId="172" fontId="2" fillId="0" borderId="0" xfId="4"/>
    <xf numFmtId="9" fontId="2" fillId="0" borderId="0" xfId="5"/>
    <xf numFmtId="0" fontId="3" fillId="0" borderId="1" xfId="0" applyFont="1" applyBorder="1" applyAlignment="1">
      <alignment horizontal="center" vertical="top"/>
    </xf>
    <xf numFmtId="0" fontId="0" fillId="3" borderId="2" xfId="0" applyFill="1"/>
    <xf numFmtId="164" fontId="0" fillId="0" borderId="0" xfId="0" applyNumberFormat="1"/>
    <xf numFmtId="0" fontId="0" fillId="4" borderId="3" xfId="0" applyFill="1"/>
    <xf numFmtId="0" fontId="0" fillId="5" borderId="4" xfId="0" applyFill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165" fontId="4" fillId="6" borderId="5" xfId="0" applyNumberFormat="1" applyFont="1" applyFill="1" applyBorder="1" applyAlignment="1">
      <alignment horizontal="center"/>
    </xf>
    <xf numFmtId="166" fontId="4" fillId="6" borderId="5" xfId="0" applyNumberFormat="1" applyFont="1" applyFill="1" applyBorder="1" applyAlignment="1">
      <alignment horizontal="center"/>
    </xf>
    <xf numFmtId="168" fontId="0" fillId="0" borderId="0" xfId="0" applyNumberFormat="1"/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tableStyles count="0"/>
  <extLst>
    <ext uri="smNativeData">
      <pm:charStyles xmlns:pm="smNativeData" id="1605907435" count="1">
        <pm:charStyle name="Обычный" fontId="0" Id="1"/>
      </pm:charStyles>
      <pm:colors xmlns:pm="smNativeData" id="1605907435" count="7">
        <pm:color name="Цвет 24" rgb="FFAA95"/>
        <pm:color name="Цвет 25" rgb="FFCC99"/>
        <pm:color name="Цвет 26" rgb="729FCF"/>
        <pm:color name="Цвет 27" rgb="969696"/>
        <pm:color name="Цвет 28" rgb="AFD095"/>
        <pm:color name="Цвет 29" rgb="99CCFF"/>
        <pm:color name="Цвет 30" rgb="FBE5D6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view="normal" topLeftCell="C25" workbookViewId="0">
      <selection activeCell="P53" sqref="P53"/>
    </sheetView>
  </sheetViews>
  <sheetFormatPr baseColWidth="7" defaultColWidth="8.544643" defaultRowHeight="15.40"/>
  <cols>
    <col min="4" max="4" width="13.232143" customWidth="1" style="0"/>
    <col min="7" max="7" width="30.866071" customWidth="1" style="0"/>
    <col min="8" max="8" width="19.285714" customWidth="1" style="0"/>
    <col min="10" max="10" width="13.901786" customWidth="1"/>
    <col min="11" max="11" width="12.026786" customWidth="1"/>
    <col min="12" max="12" width="12.428571" customWidth="1"/>
    <col min="13" max="13" width="23.035714" customWidth="1" style="0"/>
    <col min="15" max="15" width="12.678571" customWidth="1" style="0"/>
    <col min="16" max="16" width="40.455357" customWidth="1" style="0"/>
    <col min="1023" max="1024" width="9.142857" customWidth="1" style="0"/>
  </cols>
  <sheetData>
    <row r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t="s">
        <v>16</v>
      </c>
    </row>
    <row r="2" spans="1:17">
      <c r="A2" t="s">
        <v>17</v>
      </c>
      <c r="B2" t="n">
        <v>69.5586111111111194</v>
      </c>
      <c r="C2" t="n">
        <v>47.7055555555555983</v>
      </c>
      <c r="D2" s="7" t="s">
        <v>18</v>
      </c>
      <c r="E2" s="7" t="n">
        <v>32.5934999999999988</v>
      </c>
      <c r="F2" t="s">
        <v>19</v>
      </c>
      <c r="G2" s="8" t="n">
        <v>43727.6041666667006</v>
      </c>
      <c r="H2" t="n">
        <v>0.0000708693304535636948</v>
      </c>
      <c r="I2" t="n">
        <v>4</v>
      </c>
      <c r="J2" t="n">
        <v>9.73075000000000045</v>
      </c>
      <c r="K2" t="n">
        <v>0.0179985601151908003</v>
      </c>
      <c r="L2" t="n">
        <v>3599.71202303816017</v>
      </c>
      <c r="M2" t="n">
        <v>0</v>
      </c>
      <c r="N2" t="n">
        <v>3.39939899999999984</v>
      </c>
      <c r="O2" t="n">
        <v>9.63000000000000078</v>
      </c>
      <c r="P2" t="s">
        <v>20</v>
      </c>
      <c r="Q2" t="n">
        <v>222.240000000000009</v>
      </c>
    </row>
    <row r="3" spans="1:17">
      <c r="A3" t="s">
        <v>21</v>
      </c>
      <c r="B3" t="n">
        <v>69.8238888888889022</v>
      </c>
      <c r="C3" t="n">
        <v>50.5552777777777962</v>
      </c>
      <c r="D3" s="7" t="s">
        <v>18</v>
      </c>
      <c r="E3" s="7" t="n">
        <v>33.198599999999999</v>
      </c>
      <c r="F3" t="s">
        <v>22</v>
      </c>
      <c r="G3" s="8" t="n">
        <v>43727.84375</v>
      </c>
      <c r="H3" t="n">
        <v>0.0000121490280777537962</v>
      </c>
      <c r="I3" t="n">
        <v>1</v>
      </c>
      <c r="J3" t="n">
        <v>0.679000000000000181</v>
      </c>
      <c r="K3" t="n">
        <v>0.00449964002879769964</v>
      </c>
      <c r="L3" t="n">
        <v>899.928005759539019</v>
      </c>
      <c r="M3" t="n">
        <v>5</v>
      </c>
      <c r="N3" t="n">
        <v>3.42447500000000016</v>
      </c>
      <c r="O3" t="n">
        <v>11.0099999999999998</v>
      </c>
      <c r="P3" t="s">
        <v>20</v>
      </c>
      <c r="Q3" t="n">
        <v>222.240000000000009</v>
      </c>
    </row>
    <row r="4" spans="1:17">
      <c r="A4" t="s">
        <v>23</v>
      </c>
      <c r="B4" t="n">
        <v>72.1558333333333053</v>
      </c>
      <c r="C4" t="n">
        <v>63.1052777777778076</v>
      </c>
      <c r="D4" s="7" t="s">
        <v>24</v>
      </c>
      <c r="E4" s="7" t="n">
        <v>31.7577999999999996</v>
      </c>
      <c r="F4" t="s">
        <v>25</v>
      </c>
      <c r="G4" s="8" t="n">
        <v>43729.3506944444962</v>
      </c>
      <c r="H4" t="n">
        <v>0.0000202483801295896004</v>
      </c>
      <c r="I4" t="n">
        <v>3</v>
      </c>
      <c r="J4" t="n">
        <v>6.38266666666666982</v>
      </c>
      <c r="K4" t="n">
        <v>0.0134989200863931025</v>
      </c>
      <c r="L4" t="n">
        <v>2699.78401727862001</v>
      </c>
      <c r="M4" t="n">
        <v>41</v>
      </c>
      <c r="N4" t="n">
        <v>3.16510300000000022</v>
      </c>
      <c r="O4" t="n">
        <v>2.43999999999999995</v>
      </c>
      <c r="P4" t="s">
        <v>20</v>
      </c>
      <c r="Q4" t="n">
        <v>222.240000000000009</v>
      </c>
    </row>
    <row r="5" spans="1:17">
      <c r="A5" t="s">
        <v>26</v>
      </c>
      <c r="B5" t="n">
        <v>72.2147222222222069</v>
      </c>
      <c r="C5" t="n">
        <v>63.2813888888888982</v>
      </c>
      <c r="D5" s="7" t="s">
        <v>24</v>
      </c>
      <c r="E5" s="7" t="n">
        <v>31.883700000000001</v>
      </c>
      <c r="F5" t="s">
        <v>27</v>
      </c>
      <c r="G5" s="8" t="n">
        <v>43729.8333333332994</v>
      </c>
      <c r="H5" t="n">
        <v>0</v>
      </c>
      <c r="I5" t="n">
        <v>0</v>
      </c>
      <c r="K5" t="n">
        <v>0</v>
      </c>
      <c r="L5" t="n">
        <v>0</v>
      </c>
      <c r="M5" t="n">
        <v>53</v>
      </c>
      <c r="N5" t="n">
        <v>3.16131299999999982</v>
      </c>
      <c r="O5" t="n">
        <v>10.4299999999999997</v>
      </c>
      <c r="P5" t="s">
        <v>20</v>
      </c>
      <c r="Q5" t="n">
        <v>222.240000000000009</v>
      </c>
    </row>
    <row r="6" spans="1:17">
      <c r="A6" t="s">
        <v>28</v>
      </c>
      <c r="B6" t="n">
        <v>73.2777777777777999</v>
      </c>
      <c r="C6" t="n">
        <v>66.8138888888888971</v>
      </c>
      <c r="D6" s="9" t="s">
        <v>24</v>
      </c>
      <c r="E6" s="9" t="n">
        <v>20.4451999999999998</v>
      </c>
      <c r="F6" t="s">
        <v>29</v>
      </c>
      <c r="G6" s="8" t="n">
        <v>43729.7743054398015</v>
      </c>
      <c r="H6" t="n">
        <v>0</v>
      </c>
      <c r="I6" t="n">
        <v>0</v>
      </c>
      <c r="K6" t="n">
        <v>0</v>
      </c>
      <c r="L6" t="n">
        <v>0</v>
      </c>
      <c r="M6" t="n">
        <v>52</v>
      </c>
      <c r="N6" t="n">
        <v>2.04880199999999979</v>
      </c>
      <c r="O6" t="n">
        <v>9.88000000000000078</v>
      </c>
      <c r="P6" t="s">
        <v>30</v>
      </c>
      <c r="Q6" t="n">
        <v>222.240000000000009</v>
      </c>
    </row>
    <row r="7" spans="1:17">
      <c r="A7" t="s">
        <v>31</v>
      </c>
      <c r="B7" t="n">
        <v>73.3505555555556015</v>
      </c>
      <c r="C7" t="n">
        <v>66.8850000000000193</v>
      </c>
      <c r="D7" s="9" t="s">
        <v>24</v>
      </c>
      <c r="E7" s="9" t="n">
        <v>20.1146999999999991</v>
      </c>
      <c r="F7" t="s">
        <v>32</v>
      </c>
      <c r="G7" s="8" t="n">
        <v>43729.8263888888978</v>
      </c>
      <c r="H7" t="n">
        <v>0</v>
      </c>
      <c r="I7" t="n">
        <v>0</v>
      </c>
      <c r="K7" t="n">
        <v>0</v>
      </c>
      <c r="L7" t="n">
        <v>0</v>
      </c>
      <c r="M7" t="n">
        <v>53</v>
      </c>
      <c r="N7" t="n">
        <v>2.01824000000000003</v>
      </c>
      <c r="O7" t="n">
        <v>2.24000000000000021</v>
      </c>
      <c r="P7" t="s">
        <v>30</v>
      </c>
      <c r="Q7" t="n">
        <v>222.240000000000009</v>
      </c>
    </row>
    <row r="8" spans="1:17">
      <c r="A8" t="s">
        <v>33</v>
      </c>
      <c r="B8" t="n">
        <v>73.6711111111111023</v>
      </c>
      <c r="C8" t="n">
        <v>69.8024999999999949</v>
      </c>
      <c r="D8" s="9" t="s">
        <v>24</v>
      </c>
      <c r="E8" s="9" t="n">
        <v>22.3998999999999988</v>
      </c>
      <c r="F8" t="s">
        <v>34</v>
      </c>
      <c r="G8" s="8" t="n">
        <v>43730.0833333332994</v>
      </c>
      <c r="H8" t="n">
        <v>0</v>
      </c>
      <c r="I8" t="n">
        <v>0</v>
      </c>
      <c r="K8" t="n">
        <v>0</v>
      </c>
      <c r="L8" t="n">
        <v>0</v>
      </c>
      <c r="M8" t="n">
        <v>59</v>
      </c>
      <c r="N8" t="n">
        <v>2.13116199999999978</v>
      </c>
      <c r="O8" t="n">
        <v>5.91000000000000014</v>
      </c>
      <c r="P8" t="s">
        <v>30</v>
      </c>
      <c r="Q8" t="n">
        <v>222.240000000000009</v>
      </c>
    </row>
    <row r="9" spans="1:17">
      <c r="A9" t="s">
        <v>35</v>
      </c>
      <c r="B9" t="n">
        <v>73.8527777777777885</v>
      </c>
      <c r="C9" t="n">
        <v>72.9963888888889016</v>
      </c>
      <c r="D9" s="9" t="s">
        <v>24</v>
      </c>
      <c r="E9" s="9" t="n">
        <v>19.7359000000000009</v>
      </c>
      <c r="F9" t="s">
        <v>36</v>
      </c>
      <c r="G9" s="8" t="n">
        <v>43730.3680554398015</v>
      </c>
      <c r="H9" t="n">
        <v>0</v>
      </c>
      <c r="I9" t="n">
        <v>0</v>
      </c>
      <c r="K9" t="n">
        <v>0</v>
      </c>
      <c r="L9" t="n">
        <v>0</v>
      </c>
      <c r="M9" t="n">
        <v>66</v>
      </c>
      <c r="N9" t="n">
        <v>1.94630900000000011</v>
      </c>
      <c r="O9" t="n">
        <v>2.08999999999999986</v>
      </c>
      <c r="P9" t="s">
        <v>30</v>
      </c>
      <c r="Q9" t="n">
        <v>222.240000000000009</v>
      </c>
    </row>
    <row r="10" spans="1:17">
      <c r="A10" t="s">
        <v>37</v>
      </c>
      <c r="B10" t="n">
        <v>73.8344444444444861</v>
      </c>
      <c r="C10" t="n">
        <v>78.8166666666667055</v>
      </c>
      <c r="D10" s="9" t="s">
        <v>24</v>
      </c>
      <c r="E10" s="9" t="n">
        <v>14.8213000000000008</v>
      </c>
      <c r="F10" t="s">
        <v>27</v>
      </c>
      <c r="G10" s="8" t="n">
        <v>43730.8333333332994</v>
      </c>
      <c r="H10" t="n">
        <v>4.499640028797700073E-06</v>
      </c>
      <c r="I10" t="n">
        <v>3</v>
      </c>
      <c r="J10" t="n">
        <v>1.85299999999999994</v>
      </c>
      <c r="K10" t="n">
        <v>0.0134989200863931025</v>
      </c>
      <c r="L10" t="n">
        <v>2699.78401727862001</v>
      </c>
      <c r="M10" t="n">
        <v>77</v>
      </c>
      <c r="N10" t="n">
        <v>1.53631399999999996</v>
      </c>
      <c r="O10" t="n">
        <v>1.37000000000000011</v>
      </c>
      <c r="P10" t="s">
        <v>38</v>
      </c>
      <c r="Q10" t="n">
        <v>222.240000000000009</v>
      </c>
    </row>
    <row r="11" spans="1:17">
      <c r="A11" t="s">
        <v>39</v>
      </c>
      <c r="B11" t="n">
        <v>74.8638333333333037</v>
      </c>
      <c r="C11" t="n">
        <v>84.5023333333332971</v>
      </c>
      <c r="D11" s="9" t="s">
        <v>24</v>
      </c>
      <c r="E11" s="9" t="n">
        <v>19.8518000000000008</v>
      </c>
      <c r="F11" t="s">
        <v>40</v>
      </c>
      <c r="G11" s="8" t="n">
        <v>43731.3333333332994</v>
      </c>
      <c r="H11" t="n">
        <v>0.0000314974802015839117</v>
      </c>
      <c r="I11" t="n">
        <v>5</v>
      </c>
      <c r="J11" t="n">
        <v>2.81280000000000019</v>
      </c>
      <c r="K11" t="n">
        <v>0.0224982001439884982</v>
      </c>
      <c r="L11" t="n">
        <v>4499.64002879769942</v>
      </c>
      <c r="M11" t="n">
        <v>89</v>
      </c>
      <c r="N11" t="n">
        <v>1.94893599999999996</v>
      </c>
      <c r="O11" t="n">
        <v>2.25</v>
      </c>
      <c r="P11" t="s">
        <v>30</v>
      </c>
      <c r="Q11" t="n">
        <v>222.240000000000009</v>
      </c>
    </row>
    <row r="12" spans="1:17">
      <c r="A12" t="s">
        <v>41</v>
      </c>
      <c r="B12" t="n">
        <v>76.1894999999999811</v>
      </c>
      <c r="C12" t="n">
        <v>88.6255000000000024</v>
      </c>
      <c r="D12" s="9" t="s">
        <v>24</v>
      </c>
      <c r="E12" s="9" t="n">
        <v>26.6260000000000012</v>
      </c>
      <c r="F12" t="s">
        <v>42</v>
      </c>
      <c r="G12" s="8" t="n">
        <v>43731.7916666667006</v>
      </c>
      <c r="H12" t="n">
        <v>0</v>
      </c>
      <c r="I12" t="n">
        <v>0</v>
      </c>
      <c r="K12" t="n">
        <v>0</v>
      </c>
      <c r="L12" t="n">
        <v>0</v>
      </c>
      <c r="M12" t="n">
        <v>100</v>
      </c>
      <c r="N12" t="n">
        <v>2.51095300000000021</v>
      </c>
      <c r="O12" t="n">
        <v>2.41000000000000014</v>
      </c>
      <c r="P12" t="s">
        <v>30</v>
      </c>
      <c r="Q12" t="n">
        <v>222.240000000000009</v>
      </c>
    </row>
    <row r="13" spans="1:17">
      <c r="A13" t="s">
        <v>43</v>
      </c>
      <c r="B13" t="n">
        <v>77.1509166666667028</v>
      </c>
      <c r="C13" t="n">
        <v>95.6136999999999944</v>
      </c>
      <c r="D13" s="10" t="s">
        <v>24</v>
      </c>
      <c r="E13" s="10" t="n">
        <v>30.410499999999999</v>
      </c>
      <c r="F13" t="s">
        <v>40</v>
      </c>
      <c r="G13" s="8" t="n">
        <v>43732.3333333332994</v>
      </c>
      <c r="H13" t="n">
        <v>0</v>
      </c>
      <c r="I13" t="n">
        <v>0</v>
      </c>
      <c r="K13" t="n">
        <v>0</v>
      </c>
      <c r="L13" t="n">
        <v>0</v>
      </c>
      <c r="M13" t="n">
        <v>113</v>
      </c>
      <c r="N13" t="n">
        <v>2.65271299999999988</v>
      </c>
      <c r="O13" t="n">
        <v>2.74000000000000021</v>
      </c>
      <c r="P13" t="s">
        <v>44</v>
      </c>
      <c r="Q13" t="n">
        <v>222.240000000000009</v>
      </c>
    </row>
    <row r="14" spans="1:17">
      <c r="A14" t="s">
        <v>45</v>
      </c>
      <c r="B14" t="n">
        <v>77.6422000000000025</v>
      </c>
      <c r="C14" t="n">
        <v>102.556916666667007</v>
      </c>
      <c r="D14" s="10" t="s">
        <v>46</v>
      </c>
      <c r="E14" s="10" t="n">
        <v>34.073599999999999</v>
      </c>
      <c r="F14" t="s">
        <v>42</v>
      </c>
      <c r="G14" s="8" t="n">
        <v>43732.7916666667006</v>
      </c>
      <c r="H14" t="n">
        <v>0</v>
      </c>
      <c r="I14" t="n">
        <v>0</v>
      </c>
      <c r="K14" t="n">
        <v>0</v>
      </c>
      <c r="L14" t="n">
        <v>0</v>
      </c>
      <c r="M14" t="n">
        <v>124</v>
      </c>
      <c r="N14" t="n">
        <v>2.85100199999999973</v>
      </c>
      <c r="O14" t="n">
        <v>4.86000000000000032</v>
      </c>
      <c r="P14" t="s">
        <v>44</v>
      </c>
      <c r="Q14" t="n">
        <v>222.240000000000009</v>
      </c>
    </row>
    <row r="15" spans="1:17">
      <c r="A15" t="s">
        <v>47</v>
      </c>
      <c r="B15" t="n">
        <v>77.8534499999999809</v>
      </c>
      <c r="C15" t="n">
        <v>107.355183333332988</v>
      </c>
      <c r="D15" s="10" t="s">
        <v>46</v>
      </c>
      <c r="E15" s="10" t="n">
        <v>30.0224000000000011</v>
      </c>
      <c r="F15" t="s">
        <v>40</v>
      </c>
      <c r="G15" s="8" t="n">
        <v>43733.3333333332994</v>
      </c>
      <c r="H15" t="n">
        <v>0</v>
      </c>
      <c r="I15" t="n">
        <v>0</v>
      </c>
      <c r="K15" t="n">
        <v>0</v>
      </c>
      <c r="L15" t="n">
        <v>0</v>
      </c>
      <c r="M15" t="n">
        <v>137</v>
      </c>
      <c r="N15" t="n">
        <v>2.67100699999999991</v>
      </c>
      <c r="O15" t="n">
        <v>2.2799999999999998</v>
      </c>
      <c r="P15" t="s">
        <v>44</v>
      </c>
      <c r="Q15" t="n">
        <v>222.240000000000009</v>
      </c>
    </row>
    <row r="16" spans="1:17">
      <c r="A16" t="s">
        <v>48</v>
      </c>
      <c r="B16" t="n">
        <v>77.1455899999999986</v>
      </c>
      <c r="C16" t="n">
        <v>121.283440000000013</v>
      </c>
      <c r="D16" s="10" t="s">
        <v>46</v>
      </c>
      <c r="E16" s="10" t="n">
        <v>30.5391000000000012</v>
      </c>
      <c r="F16" t="s">
        <v>49</v>
      </c>
      <c r="G16" s="8" t="n">
        <v>43733.4041666667035</v>
      </c>
      <c r="H16" t="n">
        <v>0</v>
      </c>
      <c r="I16" t="n">
        <v>0</v>
      </c>
      <c r="K16" t="n">
        <v>0</v>
      </c>
      <c r="L16" t="n">
        <v>0</v>
      </c>
      <c r="M16" t="n">
        <v>139</v>
      </c>
      <c r="N16" t="n">
        <v>2.84623299999999979</v>
      </c>
      <c r="O16" t="n">
        <v>7.73000000000000043</v>
      </c>
      <c r="P16" t="s">
        <v>44</v>
      </c>
      <c r="Q16" t="n">
        <v>222.240000000000009</v>
      </c>
    </row>
    <row r="17" spans="1:17">
      <c r="A17" t="s">
        <v>50</v>
      </c>
      <c r="B17" t="n">
        <v>77.2490499999999827</v>
      </c>
      <c r="C17" t="n">
        <v>121.412233333332992</v>
      </c>
      <c r="D17" s="10" t="s">
        <v>46</v>
      </c>
      <c r="E17" s="10" t="n">
        <v>30.5241000000000007</v>
      </c>
      <c r="F17" t="s">
        <v>51</v>
      </c>
      <c r="G17" s="8" t="n">
        <v>43734.8680554398015</v>
      </c>
      <c r="H17" t="n">
        <v>0</v>
      </c>
      <c r="I17" t="n">
        <v>0</v>
      </c>
      <c r="K17" t="n">
        <v>0</v>
      </c>
      <c r="L17" t="n">
        <v>0</v>
      </c>
      <c r="M17" t="n">
        <v>174</v>
      </c>
      <c r="N17" t="n">
        <v>2.85191600000000012</v>
      </c>
      <c r="O17" t="n">
        <v>1.71999999999999993</v>
      </c>
      <c r="P17" t="s">
        <v>44</v>
      </c>
      <c r="Q17" t="n">
        <v>222.240000000000009</v>
      </c>
    </row>
    <row r="18" spans="1:17">
      <c r="A18" t="s">
        <v>52</v>
      </c>
      <c r="B18" t="n">
        <v>76.8627666666667011</v>
      </c>
      <c r="C18" t="n">
        <v>126.131183333333013</v>
      </c>
      <c r="D18" s="10" t="s">
        <v>46</v>
      </c>
      <c r="E18" s="10" t="n">
        <v>29.6609000000000016</v>
      </c>
      <c r="F18" t="s">
        <v>40</v>
      </c>
      <c r="G18" s="8" t="n">
        <v>43735.3333333332994</v>
      </c>
      <c r="H18" t="n">
        <v>0</v>
      </c>
      <c r="I18" t="n">
        <v>0</v>
      </c>
      <c r="K18" t="n">
        <v>0</v>
      </c>
      <c r="L18" t="n">
        <v>0</v>
      </c>
      <c r="M18" t="n">
        <v>185</v>
      </c>
      <c r="N18" t="n">
        <v>2.79299799999999987</v>
      </c>
      <c r="O18" t="n">
        <v>2.77000000000000002</v>
      </c>
      <c r="P18" t="s">
        <v>44</v>
      </c>
      <c r="Q18" t="n">
        <v>222.240000000000009</v>
      </c>
    </row>
    <row r="19" spans="1:17">
      <c r="A19" t="s">
        <v>53</v>
      </c>
      <c r="B19" t="n">
        <v>76.9044166666667053</v>
      </c>
      <c r="C19" t="n">
        <v>132.33605</v>
      </c>
      <c r="D19" s="10" t="s">
        <v>46</v>
      </c>
      <c r="E19" s="10" t="n">
        <v>30.8019999999999996</v>
      </c>
      <c r="F19" t="s">
        <v>27</v>
      </c>
      <c r="G19" s="8" t="n">
        <v>43735.8333333332994</v>
      </c>
      <c r="H19" t="n">
        <v>0</v>
      </c>
      <c r="I19" t="n">
        <v>0</v>
      </c>
      <c r="K19" t="n">
        <v>0</v>
      </c>
      <c r="L19" t="n">
        <v>0</v>
      </c>
      <c r="M19" t="n">
        <v>197</v>
      </c>
      <c r="N19" t="n">
        <v>2.89704899999999999</v>
      </c>
      <c r="O19" t="n">
        <v>1.85</v>
      </c>
      <c r="P19" t="s">
        <v>44</v>
      </c>
      <c r="Q19" t="n">
        <v>222.240000000000009</v>
      </c>
    </row>
    <row r="20" spans="1:17">
      <c r="A20" t="s">
        <v>54</v>
      </c>
      <c r="B20" t="n">
        <v>76.8171833333333041</v>
      </c>
      <c r="C20" t="n">
        <v>140.563416666666996</v>
      </c>
      <c r="D20" s="9" t="s">
        <v>55</v>
      </c>
      <c r="E20" s="9" t="n">
        <v>22.4947000000000017</v>
      </c>
      <c r="F20" t="s">
        <v>56</v>
      </c>
      <c r="G20" s="8" t="n">
        <v>43736.9534722222015</v>
      </c>
      <c r="H20" t="n">
        <v>0</v>
      </c>
      <c r="I20" t="n">
        <v>0</v>
      </c>
      <c r="K20" t="n">
        <v>0</v>
      </c>
      <c r="L20" t="n">
        <v>0</v>
      </c>
      <c r="M20" t="n">
        <v>224</v>
      </c>
      <c r="N20" t="n">
        <v>2.13578599999999996</v>
      </c>
      <c r="O20" t="n">
        <v>2.25</v>
      </c>
      <c r="P20" t="s">
        <v>30</v>
      </c>
      <c r="Q20" t="n">
        <v>222.240000000000009</v>
      </c>
    </row>
    <row r="21" spans="1:17">
      <c r="A21" t="s">
        <v>57</v>
      </c>
      <c r="B21" t="n">
        <v>76.5931999999999817</v>
      </c>
      <c r="C21" t="n">
        <v>149.291316666667001</v>
      </c>
      <c r="D21" s="9" t="s">
        <v>55</v>
      </c>
      <c r="E21" s="9" t="n">
        <v>24.8077000000000005</v>
      </c>
      <c r="F21" t="s">
        <v>58</v>
      </c>
      <c r="G21" s="8" t="n">
        <v>43737.3888888888978</v>
      </c>
      <c r="H21" t="n">
        <v>4.049676025917929727E-06</v>
      </c>
      <c r="I21" t="n">
        <v>1</v>
      </c>
      <c r="J21" t="n">
        <v>7.75300000000000011</v>
      </c>
      <c r="K21" t="n">
        <v>0.00449964002879769964</v>
      </c>
      <c r="L21" t="n">
        <v>899.928005759539019</v>
      </c>
      <c r="M21" t="n">
        <v>234</v>
      </c>
      <c r="N21" t="n">
        <v>2.30463299999999993</v>
      </c>
      <c r="O21" t="n">
        <v>4.91000000000000014</v>
      </c>
      <c r="P21" t="s">
        <v>30</v>
      </c>
      <c r="Q21" t="n">
        <v>222.240000000000009</v>
      </c>
    </row>
    <row r="22" spans="1:17">
      <c r="A22" t="s">
        <v>59</v>
      </c>
      <c r="B22" t="n">
        <v>74.9586000000000041</v>
      </c>
      <c r="C22" t="n">
        <v>160.636366666666987</v>
      </c>
      <c r="D22" s="9" t="s">
        <v>55</v>
      </c>
      <c r="E22" s="9" t="n">
        <v>25.3625000000000007</v>
      </c>
      <c r="F22" t="s">
        <v>60</v>
      </c>
      <c r="G22" s="8" t="n">
        <v>43739.3576388888978</v>
      </c>
      <c r="H22" t="n">
        <v>0.0000179985601151908003</v>
      </c>
      <c r="I22" t="n">
        <v>10</v>
      </c>
      <c r="J22" t="n">
        <v>1.98520000000000003</v>
      </c>
      <c r="K22" t="n">
        <v>0.0449964002879769964</v>
      </c>
      <c r="L22" t="n">
        <v>8999.28005759538974</v>
      </c>
      <c r="M22" t="n">
        <v>282</v>
      </c>
      <c r="N22" t="n">
        <v>2.2270970000000001</v>
      </c>
      <c r="O22" t="n">
        <v>5.05999999999999961</v>
      </c>
      <c r="P22" t="s">
        <v>30</v>
      </c>
      <c r="Q22" t="n">
        <v>222.240000000000009</v>
      </c>
    </row>
    <row r="23" spans="1:17">
      <c r="A23" t="s">
        <v>61</v>
      </c>
      <c r="B23" t="n">
        <v>74.5601300000000009</v>
      </c>
      <c r="C23" t="n">
        <v>160.500900000000001</v>
      </c>
      <c r="D23" s="9" t="s">
        <v>55</v>
      </c>
      <c r="E23" s="9" t="n">
        <v>25.7625999999999991</v>
      </c>
      <c r="F23" t="s">
        <v>62</v>
      </c>
      <c r="G23" s="8" t="n">
        <v>43740.5493055555999</v>
      </c>
      <c r="H23" t="n">
        <v>0</v>
      </c>
      <c r="I23" t="n">
        <v>0</v>
      </c>
      <c r="K23" t="n">
        <v>0</v>
      </c>
      <c r="L23" t="n">
        <v>0</v>
      </c>
      <c r="M23" t="n">
        <v>310</v>
      </c>
      <c r="N23" t="n">
        <v>2.2813150000000002</v>
      </c>
      <c r="O23" t="n">
        <v>10.0199999999999996</v>
      </c>
      <c r="P23" t="s">
        <v>30</v>
      </c>
      <c r="Q23" t="n">
        <v>222.240000000000009</v>
      </c>
    </row>
    <row r="24" spans="1:17">
      <c r="A24" t="s">
        <v>63</v>
      </c>
      <c r="B24" t="n">
        <v>74.1377600000000001</v>
      </c>
      <c r="C24" t="n">
        <v>156.121949999999998</v>
      </c>
      <c r="D24" s="9" t="s">
        <v>55</v>
      </c>
      <c r="E24" s="9" t="n">
        <v>22.0702999999999996</v>
      </c>
      <c r="F24" t="s">
        <v>42</v>
      </c>
      <c r="G24" s="8" t="n">
        <v>43741.7916666667006</v>
      </c>
      <c r="H24" t="n">
        <v>1.484881209503240152E-06</v>
      </c>
      <c r="I24" t="n">
        <v>2</v>
      </c>
      <c r="J24" t="n">
        <v>0.703999999999999826</v>
      </c>
      <c r="K24" t="n">
        <v>0.00899928005759539218</v>
      </c>
      <c r="L24" t="n">
        <v>1799.85601151908008</v>
      </c>
      <c r="M24" t="n">
        <v>340</v>
      </c>
      <c r="N24" t="n">
        <v>2.03190999999999988</v>
      </c>
      <c r="O24" t="n">
        <v>8.69999999999999929</v>
      </c>
      <c r="P24" t="s">
        <v>30</v>
      </c>
      <c r="Q24" t="n">
        <v>222.240000000000009</v>
      </c>
    </row>
    <row r="25" spans="1:17">
      <c r="A25" t="s">
        <v>64</v>
      </c>
      <c r="B25" t="n">
        <v>73.1446399999999812</v>
      </c>
      <c r="C25" t="n">
        <v>149.21047999999999</v>
      </c>
      <c r="D25" s="9" t="s">
        <v>55</v>
      </c>
      <c r="E25" s="9" t="n">
        <v>22.5397999999999996</v>
      </c>
      <c r="F25" t="s">
        <v>40</v>
      </c>
      <c r="G25" s="8" t="n">
        <v>43742.3333333332994</v>
      </c>
      <c r="H25" t="n">
        <v>0</v>
      </c>
      <c r="I25" t="n">
        <v>0</v>
      </c>
      <c r="K25" t="n">
        <v>0</v>
      </c>
      <c r="L25" t="n">
        <v>0</v>
      </c>
      <c r="M25" t="n">
        <v>353</v>
      </c>
      <c r="N25" t="n">
        <v>2.06468199999999991</v>
      </c>
      <c r="O25" t="n">
        <v>10.4800000000000004</v>
      </c>
      <c r="P25" t="s">
        <v>30</v>
      </c>
      <c r="Q25" t="n">
        <v>222.240000000000009</v>
      </c>
    </row>
    <row r="26" spans="1:17">
      <c r="A26" t="s">
        <v>65</v>
      </c>
      <c r="B26" t="n">
        <v>73.0404699999999991</v>
      </c>
      <c r="C26" t="n">
        <v>142.148349999999994</v>
      </c>
      <c r="D26" s="9" t="s">
        <v>46</v>
      </c>
      <c r="E26" s="9" t="n">
        <v>17.9167999999999985</v>
      </c>
      <c r="F26" t="s">
        <v>66</v>
      </c>
      <c r="G26" s="8" t="n">
        <v>43742.9097222222044</v>
      </c>
      <c r="H26" t="n">
        <v>0</v>
      </c>
      <c r="I26" t="n">
        <v>0</v>
      </c>
      <c r="K26" t="n">
        <v>0</v>
      </c>
      <c r="L26" t="n">
        <v>0</v>
      </c>
      <c r="M26" t="n">
        <v>367</v>
      </c>
      <c r="N26" t="n">
        <v>1.707484</v>
      </c>
      <c r="O26" t="n">
        <v>5.12999999999999989</v>
      </c>
      <c r="P26" t="s">
        <v>30</v>
      </c>
      <c r="Q26" t="n">
        <v>222.240000000000009</v>
      </c>
    </row>
    <row r="27" spans="1:17">
      <c r="A27" t="s">
        <v>67</v>
      </c>
      <c r="B27" t="n">
        <v>72.5677000000000021</v>
      </c>
      <c r="C27" t="n">
        <v>140.355709999999988</v>
      </c>
      <c r="D27" s="9" t="s">
        <v>46</v>
      </c>
      <c r="E27" s="9" t="n">
        <v>21.2508000000000017</v>
      </c>
      <c r="F27" t="s">
        <v>68</v>
      </c>
      <c r="G27" s="8" t="n">
        <v>43743.3854166667006</v>
      </c>
      <c r="H27" t="n">
        <v>0</v>
      </c>
      <c r="I27" t="n">
        <v>0</v>
      </c>
      <c r="K27" t="n">
        <v>0</v>
      </c>
      <c r="L27" t="n">
        <v>0</v>
      </c>
      <c r="M27" t="n">
        <v>378</v>
      </c>
      <c r="N27" t="n">
        <v>1.91482599999999987</v>
      </c>
      <c r="O27" t="n">
        <v>6.66000000000000014</v>
      </c>
      <c r="P27" t="s">
        <v>30</v>
      </c>
      <c r="Q27" t="n">
        <v>222.240000000000009</v>
      </c>
    </row>
    <row r="28" spans="1:17">
      <c r="A28" t="s">
        <v>69</v>
      </c>
      <c r="B28" t="n">
        <v>72.4954000000000036</v>
      </c>
      <c r="C28" t="n">
        <v>139.111899999999991</v>
      </c>
      <c r="D28" s="9" t="s">
        <v>46</v>
      </c>
      <c r="E28" s="9" t="n">
        <v>18.8019999999999996</v>
      </c>
      <c r="F28" t="s">
        <v>70</v>
      </c>
      <c r="G28" s="8" t="n">
        <v>43743.7534722222044</v>
      </c>
      <c r="H28" t="n">
        <v>0</v>
      </c>
      <c r="I28" t="n">
        <v>0</v>
      </c>
      <c r="K28" t="n">
        <v>0</v>
      </c>
      <c r="L28" t="n">
        <v>0</v>
      </c>
      <c r="M28" t="n">
        <v>387</v>
      </c>
      <c r="N28" t="n">
        <v>1.75377500000000008</v>
      </c>
      <c r="O28" t="n">
        <v>6.30700000000000038</v>
      </c>
      <c r="P28" t="s">
        <v>30</v>
      </c>
      <c r="Q28" t="n">
        <v>222.240000000000009</v>
      </c>
    </row>
    <row r="29" spans="1:17">
      <c r="A29" t="s">
        <v>71</v>
      </c>
      <c r="B29" t="n">
        <v>72.4973600000000005</v>
      </c>
      <c r="C29" t="n">
        <v>139.073730000000012</v>
      </c>
      <c r="D29" s="9" t="s">
        <v>46</v>
      </c>
      <c r="E29" s="9" t="n">
        <v>18.8019999999999996</v>
      </c>
      <c r="F29" t="s">
        <v>72</v>
      </c>
      <c r="G29" s="8" t="n">
        <v>43744.3840277777999</v>
      </c>
      <c r="H29" t="n">
        <v>4.949604031677471266E-06</v>
      </c>
      <c r="I29" t="n">
        <v>6</v>
      </c>
      <c r="J29" t="n">
        <v>1.51449999999999996</v>
      </c>
      <c r="K29" t="n">
        <v>0.026997840172786205</v>
      </c>
      <c r="L29" t="n">
        <v>5399.56803455724003</v>
      </c>
      <c r="M29" t="n">
        <v>402</v>
      </c>
      <c r="N29" t="n">
        <v>1.75377500000000008</v>
      </c>
      <c r="O29" t="n">
        <v>10.4399999999999995</v>
      </c>
      <c r="P29" t="s">
        <v>30</v>
      </c>
      <c r="Q29" t="n">
        <v>222.240000000000009</v>
      </c>
    </row>
    <row r="30" spans="1:17">
      <c r="A30" t="s">
        <v>73</v>
      </c>
      <c r="B30" t="n">
        <v>73.3558299999999832</v>
      </c>
      <c r="C30" t="n">
        <v>130.135529999999989</v>
      </c>
      <c r="D30" s="9" t="s">
        <v>46</v>
      </c>
      <c r="E30" s="9" t="n">
        <v>13.6466999999999992</v>
      </c>
      <c r="F30" t="s">
        <v>60</v>
      </c>
      <c r="G30" s="8" t="n">
        <v>43745.3576388888978</v>
      </c>
      <c r="H30" t="n">
        <v>0</v>
      </c>
      <c r="I30" t="n">
        <v>0</v>
      </c>
      <c r="K30" t="n">
        <v>0</v>
      </c>
      <c r="L30" t="n">
        <v>0</v>
      </c>
      <c r="M30" t="n">
        <v>426</v>
      </c>
      <c r="N30" t="n">
        <v>1.31896999999999998</v>
      </c>
      <c r="O30" t="n">
        <v>7.55999999999999872</v>
      </c>
      <c r="P30" t="s">
        <v>38</v>
      </c>
      <c r="Q30" t="n">
        <v>222.240000000000009</v>
      </c>
    </row>
    <row r="31" spans="1:17">
      <c r="A31" t="s">
        <v>74</v>
      </c>
      <c r="B31" t="n">
        <v>73.5217399999999941</v>
      </c>
      <c r="C31" t="n">
        <v>129.189020000000028</v>
      </c>
      <c r="D31" s="9" t="s">
        <v>46</v>
      </c>
      <c r="E31" s="9" t="n">
        <v>14.4636999999999993</v>
      </c>
      <c r="F31" t="s">
        <v>75</v>
      </c>
      <c r="G31" s="8" t="n">
        <v>43745.5027777778014</v>
      </c>
      <c r="H31" t="n">
        <v>0</v>
      </c>
      <c r="I31" t="n">
        <v>0</v>
      </c>
      <c r="K31" t="n">
        <v>0</v>
      </c>
      <c r="L31" t="n">
        <v>0</v>
      </c>
      <c r="M31" t="n">
        <v>429</v>
      </c>
      <c r="N31" t="n">
        <v>1.37120299999999995</v>
      </c>
      <c r="O31" t="n">
        <v>11.0900000000000016</v>
      </c>
      <c r="P31" t="s">
        <v>38</v>
      </c>
      <c r="Q31" t="n">
        <v>222.240000000000009</v>
      </c>
    </row>
    <row r="32" spans="1:17">
      <c r="A32" t="s">
        <v>76</v>
      </c>
      <c r="B32" t="n">
        <v>74.2039999999999935</v>
      </c>
      <c r="C32" t="n">
        <v>129.131969999999995</v>
      </c>
      <c r="D32" s="9" t="s">
        <v>46</v>
      </c>
      <c r="E32" s="9" t="n">
        <v>15.0190000000000001</v>
      </c>
      <c r="F32" t="s">
        <v>77</v>
      </c>
      <c r="G32" s="8" t="n">
        <v>43745.6875</v>
      </c>
      <c r="H32" t="n">
        <v>3.599712023038159805E-06</v>
      </c>
      <c r="I32" t="n">
        <v>1</v>
      </c>
      <c r="J32" t="n">
        <v>1.81799999999999997</v>
      </c>
      <c r="K32" t="n">
        <v>0.00449964002879769964</v>
      </c>
      <c r="L32" t="n">
        <v>899.928005759539019</v>
      </c>
      <c r="M32" t="n">
        <v>434</v>
      </c>
      <c r="N32" t="n">
        <v>1.40980700000000025</v>
      </c>
      <c r="O32" t="n">
        <v>10.4800000000000004</v>
      </c>
      <c r="P32" t="s">
        <v>38</v>
      </c>
      <c r="Q32" t="n">
        <v>222.240000000000009</v>
      </c>
    </row>
    <row r="33" spans="1:17">
      <c r="A33" t="s">
        <v>78</v>
      </c>
      <c r="B33" t="n">
        <v>74.5401700000000034</v>
      </c>
      <c r="C33" t="n">
        <v>129.112150000000014</v>
      </c>
      <c r="D33" s="9" t="s">
        <v>46</v>
      </c>
      <c r="E33" s="9" t="n">
        <v>14.8353999999999999</v>
      </c>
      <c r="F33" t="s">
        <v>79</v>
      </c>
      <c r="G33" s="8" t="n">
        <v>43745.875</v>
      </c>
      <c r="H33" t="n">
        <v>1.709863210943119819E-06</v>
      </c>
      <c r="I33" t="n">
        <v>2</v>
      </c>
      <c r="J33" t="n">
        <v>0.275</v>
      </c>
      <c r="K33" t="n">
        <v>0.00899928005759539218</v>
      </c>
      <c r="L33" t="n">
        <v>1799.85601151908008</v>
      </c>
      <c r="M33" t="n">
        <v>438</v>
      </c>
      <c r="N33" t="n">
        <v>1.40540000000000003</v>
      </c>
      <c r="O33" t="n">
        <v>10.7300000000000004</v>
      </c>
      <c r="P33" t="s">
        <v>38</v>
      </c>
      <c r="Q33" t="n">
        <v>222.240000000000009</v>
      </c>
    </row>
    <row r="34" spans="1:17">
      <c r="A34" t="s">
        <v>80</v>
      </c>
      <c r="B34" t="n">
        <v>75.0071800000000053</v>
      </c>
      <c r="C34" t="n">
        <v>126.44744</v>
      </c>
      <c r="D34" s="9" t="s">
        <v>46</v>
      </c>
      <c r="E34" s="9" t="n">
        <v>17.5516000000000005</v>
      </c>
      <c r="F34" t="s">
        <v>81</v>
      </c>
      <c r="G34" s="8" t="n">
        <v>43746.5243055555984</v>
      </c>
      <c r="H34" t="n">
        <v>0</v>
      </c>
      <c r="I34" t="n">
        <v>0</v>
      </c>
      <c r="K34" t="n">
        <v>0</v>
      </c>
      <c r="L34" t="n">
        <v>0</v>
      </c>
      <c r="M34" t="n">
        <v>454</v>
      </c>
      <c r="N34" t="n">
        <v>1.59876700000000005</v>
      </c>
      <c r="O34" t="n">
        <v>3.39999999999999991</v>
      </c>
      <c r="P34" t="s">
        <v>30</v>
      </c>
      <c r="Q34" t="n">
        <v>222.240000000000009</v>
      </c>
    </row>
    <row r="35" spans="1:17">
      <c r="A35" t="s">
        <v>82</v>
      </c>
      <c r="B35" t="n">
        <v>75.2580300000000051</v>
      </c>
      <c r="C35" t="n">
        <v>127.237129999999993</v>
      </c>
      <c r="D35" s="9" t="s">
        <v>46</v>
      </c>
      <c r="E35" s="9" t="n">
        <v>17.4269999999999996</v>
      </c>
      <c r="F35" t="s">
        <v>58</v>
      </c>
      <c r="G35" s="8" t="n">
        <v>43747.3888888888978</v>
      </c>
      <c r="H35" t="n">
        <v>0</v>
      </c>
      <c r="I35" t="n">
        <v>0</v>
      </c>
      <c r="K35" t="n">
        <v>0</v>
      </c>
      <c r="L35" t="n">
        <v>0</v>
      </c>
      <c r="M35" t="n">
        <v>474</v>
      </c>
      <c r="N35" t="n">
        <v>1.61251100000000003</v>
      </c>
      <c r="O35" t="n">
        <v>10.5700000000000003</v>
      </c>
      <c r="P35" t="s">
        <v>30</v>
      </c>
      <c r="Q35" t="n">
        <v>222.240000000000009</v>
      </c>
    </row>
    <row r="36" spans="1:17">
      <c r="A36" t="s">
        <v>83</v>
      </c>
      <c r="B36" t="n">
        <v>75.7473600000000005</v>
      </c>
      <c r="C36" t="n">
        <v>126.246155000000002</v>
      </c>
      <c r="D36" s="9" t="s">
        <v>46</v>
      </c>
      <c r="E36" s="9" t="n">
        <v>23.1164999999999985</v>
      </c>
      <c r="F36" t="s">
        <v>84</v>
      </c>
      <c r="G36" s="8" t="n">
        <v>43747.5520833332994</v>
      </c>
      <c r="H36" t="n">
        <v>0</v>
      </c>
      <c r="I36" t="n">
        <v>0</v>
      </c>
      <c r="K36" t="n">
        <v>0</v>
      </c>
      <c r="L36" t="n">
        <v>0</v>
      </c>
      <c r="M36" t="n">
        <v>478</v>
      </c>
      <c r="N36" t="n">
        <v>2.11919600000000008</v>
      </c>
      <c r="O36" t="n">
        <v>9.13000000000000078</v>
      </c>
      <c r="P36" t="s">
        <v>30</v>
      </c>
      <c r="Q36" t="n">
        <v>222.240000000000009</v>
      </c>
    </row>
    <row r="37" spans="1:17">
      <c r="A37" t="s">
        <v>85</v>
      </c>
      <c r="B37" t="n">
        <v>76.2366899999999816</v>
      </c>
      <c r="C37" t="n">
        <v>125.255179999999996</v>
      </c>
      <c r="D37" s="9" t="s">
        <v>46</v>
      </c>
      <c r="E37" s="9" t="n">
        <v>25.3116999999999983</v>
      </c>
      <c r="F37" t="s">
        <v>86</v>
      </c>
      <c r="G37" s="8" t="n">
        <v>43748.1041666667006</v>
      </c>
      <c r="H37" t="n">
        <v>0</v>
      </c>
      <c r="I37" t="n">
        <v>0</v>
      </c>
      <c r="K37" t="n">
        <v>0</v>
      </c>
      <c r="L37" t="n">
        <v>0</v>
      </c>
      <c r="M37" t="n">
        <v>492</v>
      </c>
      <c r="N37" t="n">
        <v>2.3244959999999999</v>
      </c>
      <c r="O37" t="n">
        <v>10.8400000000000016</v>
      </c>
      <c r="P37" t="s">
        <v>30</v>
      </c>
      <c r="Q37" t="n">
        <v>222.240000000000009</v>
      </c>
    </row>
    <row r="38" spans="1:17">
      <c r="A38" t="s">
        <v>87</v>
      </c>
      <c r="B38" t="n">
        <v>76.5356599999999929</v>
      </c>
      <c r="C38" t="n">
        <v>127.483540000000005</v>
      </c>
      <c r="D38" s="10" t="s">
        <v>46</v>
      </c>
      <c r="E38" s="10" t="n">
        <v>30.2966000000000015</v>
      </c>
      <c r="F38" t="s">
        <v>88</v>
      </c>
      <c r="G38" s="8" t="n">
        <v>43750.0395833333023</v>
      </c>
      <c r="H38" t="n">
        <v>0</v>
      </c>
      <c r="I38" t="n">
        <v>0</v>
      </c>
      <c r="K38" t="n">
        <v>0</v>
      </c>
      <c r="L38" t="n">
        <v>0</v>
      </c>
      <c r="M38" t="n">
        <v>538</v>
      </c>
      <c r="N38" t="n">
        <v>2.83476499999999998</v>
      </c>
      <c r="O38" t="n">
        <v>7.58999999999999986</v>
      </c>
      <c r="P38" t="s">
        <v>44</v>
      </c>
      <c r="Q38" t="n">
        <v>222.240000000000009</v>
      </c>
    </row>
    <row r="39" spans="1:17">
      <c r="A39" t="s">
        <v>89</v>
      </c>
      <c r="B39" t="n">
        <v>77.1869700000000023</v>
      </c>
      <c r="C39" t="n">
        <v>120.40025</v>
      </c>
      <c r="D39" s="10" t="s">
        <v>46</v>
      </c>
      <c r="E39" s="10" t="n">
        <v>29.1540999999999997</v>
      </c>
      <c r="F39" t="s">
        <v>90</v>
      </c>
      <c r="G39" s="8" t="n">
        <v>43751.1666666667006</v>
      </c>
      <c r="H39" t="n">
        <v>0</v>
      </c>
      <c r="I39" t="n">
        <v>0</v>
      </c>
      <c r="K39" t="n">
        <v>0</v>
      </c>
      <c r="L39" t="n">
        <v>0</v>
      </c>
      <c r="M39" t="n">
        <v>565</v>
      </c>
      <c r="N39" t="n">
        <v>2.53053000000000017</v>
      </c>
      <c r="O39" t="n">
        <v>9.55000000000000071</v>
      </c>
      <c r="P39" t="s">
        <v>44</v>
      </c>
      <c r="Q39" t="n">
        <v>222.240000000000009</v>
      </c>
    </row>
    <row r="40" spans="1:17">
      <c r="A40" t="s">
        <v>91</v>
      </c>
      <c r="B40" t="n">
        <v>76.5154399999999981</v>
      </c>
      <c r="C40" t="n">
        <v>93.3610900000000044</v>
      </c>
      <c r="D40" s="10" t="s">
        <v>24</v>
      </c>
      <c r="E40" s="10" t="n">
        <v>28.8911000000000016</v>
      </c>
      <c r="F40" t="s">
        <v>92</v>
      </c>
      <c r="G40" s="8" t="n">
        <v>43753.4444444444962</v>
      </c>
      <c r="H40" t="n">
        <v>0</v>
      </c>
      <c r="I40" t="n">
        <v>0</v>
      </c>
      <c r="K40" t="n">
        <v>0</v>
      </c>
      <c r="L40" t="n">
        <v>0</v>
      </c>
      <c r="M40" t="n">
        <v>620</v>
      </c>
      <c r="N40" t="n">
        <v>2.47018899999999997</v>
      </c>
      <c r="O40" t="n">
        <v>10.9100000000000001</v>
      </c>
      <c r="P40" t="s">
        <v>44</v>
      </c>
      <c r="Q40" t="n">
        <v>222.240000000000009</v>
      </c>
    </row>
    <row r="41" spans="1:17">
      <c r="A41" t="s">
        <v>93</v>
      </c>
      <c r="B41" t="n">
        <v>74.171670000000006</v>
      </c>
      <c r="C41" t="n">
        <v>81.1872000000000043</v>
      </c>
      <c r="D41" s="9" t="s">
        <v>24</v>
      </c>
      <c r="E41" s="9" t="n">
        <v>24.6857000000000006</v>
      </c>
      <c r="F41" t="s">
        <v>94</v>
      </c>
      <c r="G41" s="8" t="n">
        <v>43754.3958333332994</v>
      </c>
      <c r="H41" t="n">
        <v>0</v>
      </c>
      <c r="I41" t="n">
        <v>0</v>
      </c>
      <c r="K41" t="n">
        <v>0</v>
      </c>
      <c r="L41" t="n">
        <v>0</v>
      </c>
      <c r="M41" t="n">
        <v>643</v>
      </c>
      <c r="N41" t="n">
        <v>2.08055799999999991</v>
      </c>
      <c r="O41" t="n">
        <v>10.7100000000000009</v>
      </c>
      <c r="P41" t="s">
        <v>30</v>
      </c>
      <c r="Q41" t="n">
        <v>222.240000000000009</v>
      </c>
    </row>
    <row r="42" spans="1:17">
      <c r="A42" t="s">
        <v>95</v>
      </c>
      <c r="B42" t="n">
        <v>73.3198100000000039</v>
      </c>
      <c r="C42" t="n">
        <v>73.1316499999999934</v>
      </c>
      <c r="D42" s="9" t="s">
        <v>24</v>
      </c>
      <c r="E42" s="9" t="n">
        <v>15.0302000000000007</v>
      </c>
      <c r="F42" t="s">
        <v>96</v>
      </c>
      <c r="G42" s="8" t="n">
        <v>43755.7326388888978</v>
      </c>
      <c r="H42" t="n">
        <v>0</v>
      </c>
      <c r="I42" t="n">
        <v>0</v>
      </c>
      <c r="K42" t="n">
        <v>0</v>
      </c>
      <c r="L42" t="n">
        <v>0</v>
      </c>
      <c r="M42" t="n">
        <v>675</v>
      </c>
      <c r="N42" t="n">
        <v>1.36208599999999991</v>
      </c>
      <c r="P42" t="s">
        <v>38</v>
      </c>
      <c r="Q42" t="n">
        <v>222.240000000000009</v>
      </c>
    </row>
    <row r="43" spans="1:17">
      <c r="A43" t="s">
        <v>97</v>
      </c>
      <c r="B43" t="n">
        <v>72.5880300000000034</v>
      </c>
      <c r="C43" t="n">
        <v>65.3704100000000068</v>
      </c>
      <c r="D43" s="7" t="s">
        <v>24</v>
      </c>
      <c r="E43" s="7" t="n">
        <v>31.9674000000000014</v>
      </c>
      <c r="F43" t="s">
        <v>70</v>
      </c>
      <c r="G43" s="8" t="n">
        <v>43756.7534722222044</v>
      </c>
      <c r="H43" t="n">
        <v>0</v>
      </c>
      <c r="I43" t="n">
        <v>0</v>
      </c>
      <c r="K43" t="n">
        <v>0</v>
      </c>
      <c r="L43" t="n">
        <v>0</v>
      </c>
      <c r="M43" t="n">
        <v>699</v>
      </c>
      <c r="N43" t="n">
        <v>2.88853999999999989</v>
      </c>
      <c r="P43" t="s">
        <v>20</v>
      </c>
      <c r="Q43" t="n">
        <v>222.240000000000009</v>
      </c>
    </row>
    <row r="44" spans="1:17">
      <c r="A44" t="s">
        <v>98</v>
      </c>
      <c r="B44" t="n">
        <v>71.3828000000000031</v>
      </c>
      <c r="C44" t="n">
        <v>61.1794000000000011</v>
      </c>
      <c r="D44" s="7" t="s">
        <v>24</v>
      </c>
      <c r="E44" s="7" t="n">
        <v>32.0523999999999987</v>
      </c>
      <c r="F44" t="s">
        <v>27</v>
      </c>
      <c r="G44" s="8" t="n">
        <v>43756.8333333332994</v>
      </c>
      <c r="H44" t="n">
        <v>0</v>
      </c>
      <c r="I44" t="n">
        <v>0</v>
      </c>
      <c r="K44" t="n">
        <v>0</v>
      </c>
      <c r="L44" t="n">
        <v>0</v>
      </c>
      <c r="M44" t="n">
        <v>701</v>
      </c>
      <c r="N44" t="n">
        <v>2.93777799999999978</v>
      </c>
      <c r="P44" t="s">
        <v>20</v>
      </c>
      <c r="Q44" t="n">
        <v>222.240000000000009</v>
      </c>
    </row>
    <row r="45" spans="1:17">
      <c r="A45" t="s">
        <v>99</v>
      </c>
      <c r="B45" t="n">
        <v>69.458200000000005</v>
      </c>
      <c r="C45" t="n">
        <v>49.235599999999998</v>
      </c>
      <c r="D45" s="7" t="s">
        <v>18</v>
      </c>
      <c r="E45" s="7" t="n">
        <v>33.6097999999999999</v>
      </c>
      <c r="F45" t="s">
        <v>40</v>
      </c>
      <c r="G45" s="8" t="n">
        <v>43758.3333333332994</v>
      </c>
      <c r="H45" t="n">
        <v>0</v>
      </c>
      <c r="I45" t="n">
        <v>0</v>
      </c>
      <c r="K45" t="n">
        <v>0</v>
      </c>
      <c r="L45" t="n">
        <v>0</v>
      </c>
      <c r="M45" t="n">
        <v>737</v>
      </c>
      <c r="N45" t="n">
        <v>3.22460499999999994</v>
      </c>
      <c r="P45" t="s">
        <v>20</v>
      </c>
      <c r="Q45" t="n">
        <v>222.240000000000009</v>
      </c>
    </row>
    <row r="46" spans="1:17">
      <c r="A46" t="s">
        <v>100</v>
      </c>
      <c r="B46" t="n">
        <v>68.5913000000000039</v>
      </c>
      <c r="C46" t="n">
        <v>44.1214999999999975</v>
      </c>
      <c r="D46" s="7" t="s">
        <v>18</v>
      </c>
      <c r="E46" s="7" t="n">
        <v>32.013300000000001</v>
      </c>
      <c r="F46" t="s">
        <v>27</v>
      </c>
      <c r="G46" s="8" t="n">
        <v>43758.8333333332994</v>
      </c>
      <c r="H46" t="n">
        <v>0</v>
      </c>
      <c r="I46" t="n">
        <v>0</v>
      </c>
      <c r="K46" t="n">
        <v>0</v>
      </c>
      <c r="L46" t="n">
        <v>0</v>
      </c>
      <c r="M46" t="n">
        <v>749</v>
      </c>
      <c r="N46" t="n">
        <v>3.16889500000000002</v>
      </c>
      <c r="P46" t="s">
        <v>20</v>
      </c>
      <c r="Q46" t="n">
        <v>222.240000000000009</v>
      </c>
    </row>
    <row r="47" spans="1:17">
      <c r="A47" t="s">
        <v>101</v>
      </c>
      <c r="B47" t="n">
        <v>67.2771000000000043</v>
      </c>
      <c r="C47" t="n">
        <v>41.1985000000000028</v>
      </c>
      <c r="D47" s="7" t="s">
        <v>18</v>
      </c>
      <c r="E47" s="7" t="n">
        <v>30.5625999999999998</v>
      </c>
      <c r="F47" t="s">
        <v>40</v>
      </c>
      <c r="G47" s="8" t="n">
        <v>43759.3333333332994</v>
      </c>
      <c r="H47" t="n">
        <v>4.499640028797700073E-06</v>
      </c>
      <c r="I47" t="n">
        <v>3</v>
      </c>
      <c r="J47" t="n">
        <v>2.9360240000000001</v>
      </c>
      <c r="K47" t="n">
        <v>0.0134989200863931025</v>
      </c>
      <c r="L47" t="n">
        <v>2699.78401727862001</v>
      </c>
      <c r="M47" t="n">
        <v>761</v>
      </c>
      <c r="N47" t="n">
        <v>3.0626730000000002</v>
      </c>
      <c r="P47" t="s">
        <v>20</v>
      </c>
      <c r="Q47" t="n">
        <v>222.240000000000009</v>
      </c>
    </row>
    <row r="48" spans="1:17">
      <c r="A48" t="s">
        <v>102</v>
      </c>
      <c r="B48" t="n">
        <v>66.1312000000000069</v>
      </c>
      <c r="C48" t="n">
        <v>40.2518999999999991</v>
      </c>
      <c r="D48" s="7" t="s">
        <v>18</v>
      </c>
      <c r="E48" s="7" t="n">
        <v>26.6631999999999998</v>
      </c>
      <c r="F48" t="s">
        <v>103</v>
      </c>
      <c r="G48" s="8" t="n">
        <v>43759.5833333332994</v>
      </c>
      <c r="H48" t="n">
        <v>0</v>
      </c>
      <c r="I48" t="n">
        <v>0</v>
      </c>
      <c r="K48" t="n">
        <v>0</v>
      </c>
      <c r="L48" t="n">
        <v>0</v>
      </c>
      <c r="M48" t="n">
        <v>767</v>
      </c>
      <c r="N48" t="n">
        <v>2.70798700000000014</v>
      </c>
      <c r="P48" t="s">
        <v>20</v>
      </c>
      <c r="Q48" t="n">
        <v>222.240000000000009</v>
      </c>
    </row>
    <row r="49" spans="1:17">
      <c r="A49" t="s">
        <v>104</v>
      </c>
      <c r="B49" t="n">
        <v>65.4849999999999994</v>
      </c>
      <c r="C49" t="n">
        <v>39.4665000000000035</v>
      </c>
      <c r="D49" s="7" t="s">
        <v>18</v>
      </c>
      <c r="E49" s="7" t="n">
        <v>19.716899999999999</v>
      </c>
      <c r="F49" t="s">
        <v>27</v>
      </c>
      <c r="G49" s="8" t="n">
        <v>43759.8333333332994</v>
      </c>
      <c r="H49" t="n">
        <v>0</v>
      </c>
      <c r="I49" t="n">
        <v>0</v>
      </c>
      <c r="K49" t="n">
        <v>0</v>
      </c>
      <c r="L49" t="n">
        <v>0</v>
      </c>
      <c r="M49" t="n">
        <v>773</v>
      </c>
      <c r="N49" t="n">
        <v>1.97833299999999994</v>
      </c>
      <c r="P49" t="s">
        <v>20</v>
      </c>
      <c r="Q49" t="n">
        <v>222.240000000000009</v>
      </c>
    </row>
    <row r="50" spans="17:17">
      <c r="Q50"/>
    </row>
  </sheetData>
  <printOptions>
    <extLst>
      <ext uri="smNativeData">
        <pm:pageFlags xmlns:pm="smNativeData" id="1605907435" printRowHead="0" printColHead="0" printHeadLine="1" printFootLine="1" autoHeightHeader="0" autoHeightFooter="0" fitToPageBoth="0"/>
      </ext>
    </extLst>
  </printOptions>
  <pageMargins left="0.750000" right="0.750000" top="1.000000" bottom="1.000000" header="0.511806" footer="0.511806"/>
  <pageSetup paperSize="9" fitToWidth="1" fitToHeight="1" cellComments="asDisplayed"/>
  <headerFooter>
    <extLst>
      <ext uri="smNativeData">
        <pm:header xmlns:pm="smNativeData" id="1605907435" l="56" r="56" t="56" b="56" borderId="0" fillId="0" vertical="0"/>
        <pm:footer xmlns:pm="smNativeData" id="1605907435" l="56" r="56" t="56" b="56" borderId="0" fillId="0" vertical="2"/>
      </ext>
    </extLst>
  </headerFooter>
  <extLst>
    <ext uri="smNativeData">
      <pm:sheetPrefs xmlns:pm="smNativeData" day="16059074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S61"/>
  <sheetViews>
    <sheetView view="normal" workbookViewId="0">
      <selection activeCell="I11" sqref="I11"/>
    </sheetView>
  </sheetViews>
  <sheetFormatPr baseColWidth="7" defaultColWidth="8.544643" defaultRowHeight="15.40"/>
  <cols>
    <col min="8" max="8" width="20.330357" customWidth="1"/>
    <col min="9" max="9" width="23.357143" customWidth="1" style="0"/>
    <col min="15" max="15" width="12.830357" customWidth="1"/>
    <col min="16" max="16" width="11.357143" customWidth="1"/>
    <col min="17" max="17" width="16.044643" customWidth="1"/>
    <col min="1024" max="1024" width="9.142857" customWidth="1" style="0"/>
  </cols>
  <sheetData>
    <row r="1" spans="2:19">
      <c r="B1" s="6" t="s">
        <v>0</v>
      </c>
      <c r="C1" s="6" t="s">
        <v>1</v>
      </c>
      <c r="D1" s="6" t="s">
        <v>2</v>
      </c>
      <c r="E1" s="6" t="s">
        <v>105</v>
      </c>
      <c r="F1" s="6" t="s">
        <v>3</v>
      </c>
      <c r="G1" s="6" t="s">
        <v>4</v>
      </c>
      <c r="H1" s="6" t="s">
        <v>106</v>
      </c>
      <c r="I1" s="6" t="s">
        <v>15</v>
      </c>
      <c r="J1" s="6" t="s">
        <v>107</v>
      </c>
      <c r="K1" s="6" t="s">
        <v>108</v>
      </c>
      <c r="L1" s="6" t="s">
        <v>109</v>
      </c>
      <c r="M1" s="6" t="s">
        <v>110</v>
      </c>
      <c r="N1" s="6" t="s">
        <v>111</v>
      </c>
      <c r="O1" s="6" t="s">
        <v>112</v>
      </c>
      <c r="P1" s="6" t="s">
        <v>113</v>
      </c>
      <c r="Q1" s="6" t="s">
        <v>12</v>
      </c>
      <c r="R1" s="6" t="s">
        <v>13</v>
      </c>
      <c r="S1" s="6" t="s">
        <v>14</v>
      </c>
    </row>
    <row r="2" spans="1:19">
      <c r="A2" s="6" t="n">
        <v>0</v>
      </c>
      <c r="B2" t="s">
        <v>114</v>
      </c>
      <c r="C2" t="n">
        <v>66.8638888888888943</v>
      </c>
      <c r="D2" t="n">
        <v>41.5140277777776987</v>
      </c>
      <c r="E2" t="n">
        <v>1.60099999999999998</v>
      </c>
      <c r="F2" t="s">
        <v>18</v>
      </c>
      <c r="G2" t="n">
        <v>28.3506</v>
      </c>
      <c r="H2" s="8" t="n">
        <v>43726.5784722222015</v>
      </c>
      <c r="I2" t="s">
        <v>20</v>
      </c>
      <c r="J2" t="n">
        <v>1.87382885696439985</v>
      </c>
      <c r="K2" t="n">
        <v>1.87382885696439985</v>
      </c>
      <c r="L2" t="n">
        <v>0</v>
      </c>
      <c r="M2" t="n">
        <v>471833.333333332965</v>
      </c>
      <c r="N2" t="n">
        <v>38.9830043722672954</v>
      </c>
      <c r="O2" t="n">
        <v>4.37226733291692948</v>
      </c>
      <c r="P2" t="n">
        <v>4.0188273434807904</v>
      </c>
      <c r="Q2" t="n">
        <v>1</v>
      </c>
      <c r="R2" t="n">
        <v>2.97867099999999994</v>
      </c>
      <c r="S2" t="n">
        <v>9.42000000000000171</v>
      </c>
    </row>
    <row r="3" spans="1:19">
      <c r="A3" s="6" t="n">
        <v>1</v>
      </c>
      <c r="B3" t="s">
        <v>115</v>
      </c>
      <c r="C3" t="n">
        <v>69.372361111111104</v>
      </c>
      <c r="D3" t="n">
        <v>46.5637499999999989</v>
      </c>
      <c r="E3" t="n">
        <v>1.55400000000000009</v>
      </c>
      <c r="F3" t="s">
        <v>18</v>
      </c>
      <c r="G3" t="n">
        <v>33.0429999999999993</v>
      </c>
      <c r="H3" s="8" t="n">
        <v>43727.4954861110964</v>
      </c>
      <c r="I3" t="s">
        <v>20</v>
      </c>
      <c r="J3" t="n">
        <v>0.643500643500643932</v>
      </c>
      <c r="K3" t="n">
        <v>0.643500643500643932</v>
      </c>
      <c r="L3" t="n">
        <v>0</v>
      </c>
      <c r="M3" t="n">
        <v>15000</v>
      </c>
      <c r="N3" t="n">
        <v>0.178185328185328018</v>
      </c>
      <c r="O3" t="n">
        <v>8.3655083655083704</v>
      </c>
      <c r="P3" t="n">
        <v>4.93710646946578002</v>
      </c>
      <c r="Q3" t="n">
        <v>23</v>
      </c>
      <c r="R3" t="n">
        <v>3.39287399999999995</v>
      </c>
      <c r="S3" t="n">
        <v>10.9800000000000004</v>
      </c>
    </row>
    <row r="4" spans="1:19">
      <c r="A4" s="6" t="n">
        <v>2</v>
      </c>
      <c r="B4" t="s">
        <v>116</v>
      </c>
      <c r="C4" t="n">
        <v>69.877361111111199</v>
      </c>
      <c r="D4" t="n">
        <v>52.2470833333333999</v>
      </c>
      <c r="E4" t="n">
        <v>3.12999999999999989</v>
      </c>
      <c r="F4" t="s">
        <v>18</v>
      </c>
      <c r="G4" t="n">
        <v>32.9472999999999985</v>
      </c>
      <c r="H4" s="8" t="n">
        <v>43727.9909722222001</v>
      </c>
      <c r="I4" t="s">
        <v>20</v>
      </c>
      <c r="J4" t="n">
        <v>0.319488817891374</v>
      </c>
      <c r="K4" t="n">
        <v>0</v>
      </c>
      <c r="L4" t="n">
        <v>0.319488817891374</v>
      </c>
      <c r="M4" t="n">
        <v>13710</v>
      </c>
      <c r="N4" t="n">
        <v>0.0598593844955638943</v>
      </c>
      <c r="O4" t="n">
        <v>3.19488817891374</v>
      </c>
      <c r="P4" t="n">
        <v>5.53701947105932923</v>
      </c>
      <c r="Q4" t="n">
        <v>34</v>
      </c>
      <c r="R4" t="n">
        <v>3.41710000000000003</v>
      </c>
      <c r="S4" t="n">
        <v>11.3400000000000016</v>
      </c>
    </row>
    <row r="5" spans="1:19">
      <c r="A5" s="6" t="n">
        <v>3</v>
      </c>
      <c r="B5" t="s">
        <v>117</v>
      </c>
      <c r="C5" t="n">
        <v>70.3454166666666936</v>
      </c>
      <c r="D5" t="n">
        <v>57.6045833333333022</v>
      </c>
      <c r="E5" t="n">
        <v>2.05699999999999994</v>
      </c>
      <c r="F5" t="s">
        <v>18</v>
      </c>
      <c r="G5" t="n">
        <v>31.8582999999999998</v>
      </c>
      <c r="H5" s="8" t="n">
        <v>43728.5180555555999</v>
      </c>
      <c r="I5" t="s">
        <v>20</v>
      </c>
      <c r="J5" t="n">
        <v>0</v>
      </c>
      <c r="K5" t="n">
        <v>0</v>
      </c>
      <c r="L5" t="n">
        <v>0</v>
      </c>
      <c r="N5" t="n">
        <v>0</v>
      </c>
      <c r="O5" t="n">
        <v>5.83373845405931046</v>
      </c>
      <c r="P5" t="n">
        <v>2.77358692962494002</v>
      </c>
      <c r="Q5" t="n">
        <v>47</v>
      </c>
      <c r="R5" t="n">
        <v>3.34873200000000004</v>
      </c>
      <c r="S5" t="n">
        <v>11.2200000000000006</v>
      </c>
    </row>
    <row r="6" spans="1:19">
      <c r="A6" s="6" t="n">
        <v>4</v>
      </c>
      <c r="B6" t="s">
        <v>118</v>
      </c>
      <c r="C6" t="n">
        <v>71.5323611111111006</v>
      </c>
      <c r="D6" t="n">
        <v>61.2997222222221936</v>
      </c>
      <c r="E6" t="n">
        <v>2.30900000000000016</v>
      </c>
      <c r="F6" t="s">
        <v>24</v>
      </c>
      <c r="G6" t="n">
        <v>31.2744</v>
      </c>
      <c r="H6" s="8" t="n">
        <v>43729.1677083332979</v>
      </c>
      <c r="I6" t="s">
        <v>20</v>
      </c>
      <c r="J6" t="n">
        <v>0.433087916847120002</v>
      </c>
      <c r="K6" t="n">
        <v>0.433087916847120002</v>
      </c>
      <c r="L6" t="n">
        <v>0</v>
      </c>
      <c r="M6" t="n">
        <v>12000</v>
      </c>
      <c r="N6" t="n">
        <v>0.0959376353399740012</v>
      </c>
      <c r="O6" t="n">
        <v>5.63014291901255959</v>
      </c>
      <c r="P6" t="n">
        <v>5.80243003209641994</v>
      </c>
      <c r="Q6" t="n">
        <v>63</v>
      </c>
      <c r="R6" t="n">
        <v>3.15499300000000016</v>
      </c>
      <c r="S6" t="n">
        <v>10.2699999999999996</v>
      </c>
    </row>
    <row r="7" spans="1:19">
      <c r="A7" s="6" t="n">
        <v>5</v>
      </c>
      <c r="B7" t="s">
        <v>119</v>
      </c>
      <c r="C7" t="n">
        <v>72.7084722222222126</v>
      </c>
      <c r="D7" t="n">
        <v>64.8484722222222985</v>
      </c>
      <c r="E7" t="n">
        <v>4.68100000000000005</v>
      </c>
      <c r="F7" t="s">
        <v>24</v>
      </c>
      <c r="G7" t="n">
        <v>32.0548000000000002</v>
      </c>
      <c r="H7" s="8" t="n">
        <v>43729.5694444444962</v>
      </c>
      <c r="I7" t="s">
        <v>20</v>
      </c>
      <c r="J7" t="n">
        <v>0.640888698995941031</v>
      </c>
      <c r="K7" t="n">
        <v>0.213629566331980003</v>
      </c>
      <c r="L7" t="n">
        <v>0.427259132663960983</v>
      </c>
      <c r="M7" t="n">
        <v>36130</v>
      </c>
      <c r="N7" t="n">
        <v>0.54979591687615601</v>
      </c>
      <c r="O7" t="n">
        <v>1.49540696432385989</v>
      </c>
      <c r="P7" t="n">
        <v>4.85839517436920953</v>
      </c>
      <c r="Q7" t="n">
        <v>72</v>
      </c>
      <c r="R7" t="n">
        <v>3.17458099999999988</v>
      </c>
      <c r="S7" t="n">
        <v>10.3400000000000016</v>
      </c>
    </row>
    <row r="8" spans="1:19">
      <c r="A8" s="6" t="n">
        <v>6</v>
      </c>
      <c r="B8" t="s">
        <v>120</v>
      </c>
      <c r="C8" t="n">
        <v>73.4755555555556015</v>
      </c>
      <c r="D8" t="n">
        <v>68.2065277777777936</v>
      </c>
      <c r="E8" t="n">
        <v>4.02799999999999958</v>
      </c>
      <c r="F8" t="s">
        <v>24</v>
      </c>
      <c r="G8" t="n">
        <v>18.9365999999999985</v>
      </c>
      <c r="H8" s="8" t="n">
        <v>43729.9291666666977</v>
      </c>
      <c r="I8" t="s">
        <v>30</v>
      </c>
      <c r="J8" t="n">
        <v>0</v>
      </c>
      <c r="K8" t="n">
        <v>0</v>
      </c>
      <c r="L8" t="n">
        <v>0</v>
      </c>
      <c r="N8" t="n">
        <v>0</v>
      </c>
      <c r="O8" t="n">
        <v>1.48957298907647022</v>
      </c>
      <c r="P8" t="n">
        <v>4.16068908717503039</v>
      </c>
      <c r="Q8" t="n">
        <v>81</v>
      </c>
      <c r="R8" t="n">
        <v>1.91260000000000012</v>
      </c>
      <c r="S8" t="n">
        <v>10.1400000000000006</v>
      </c>
    </row>
    <row r="9" spans="1:19">
      <c r="A9" s="6" t="n">
        <v>7</v>
      </c>
      <c r="B9" t="s">
        <v>121</v>
      </c>
      <c r="C9" t="n">
        <v>73.7872222222222831</v>
      </c>
      <c r="D9" t="n">
        <v>71.4120833333333991</v>
      </c>
      <c r="E9" t="n">
        <v>1.39100000000000001</v>
      </c>
      <c r="F9" t="s">
        <v>24</v>
      </c>
      <c r="G9" t="n">
        <v>16.0611999999999995</v>
      </c>
      <c r="H9" s="8" t="n">
        <v>43730.2298611110964</v>
      </c>
      <c r="I9" t="s">
        <v>30</v>
      </c>
      <c r="J9" t="n">
        <v>0.718907260963335926</v>
      </c>
      <c r="K9" t="n">
        <v>0.718907260963335926</v>
      </c>
      <c r="L9" t="n">
        <v>0</v>
      </c>
      <c r="M9" t="n">
        <v>34000</v>
      </c>
      <c r="N9" t="n">
        <v>1.11606038820992004</v>
      </c>
      <c r="O9" t="n">
        <v>4.31344356578000987</v>
      </c>
      <c r="P9" t="n">
        <v>3.95908932318019957</v>
      </c>
      <c r="Q9" t="n">
        <v>88</v>
      </c>
      <c r="R9" t="n">
        <v>1.61281099999999995</v>
      </c>
      <c r="S9" t="n">
        <v>8.73000000000000043</v>
      </c>
    </row>
    <row r="10" spans="1:19">
      <c r="A10" s="6" t="n">
        <v>8</v>
      </c>
      <c r="B10" t="s">
        <v>122</v>
      </c>
      <c r="C10" t="n">
        <v>73.8531944444444974</v>
      </c>
      <c r="D10" t="n">
        <v>75.8897222222223036</v>
      </c>
      <c r="E10" t="n">
        <v>3.74500000000000011</v>
      </c>
      <c r="F10" t="s">
        <v>24</v>
      </c>
      <c r="G10" t="n">
        <v>17.3745000000000012</v>
      </c>
      <c r="H10" s="8" t="n">
        <v>43730.6069444444001</v>
      </c>
      <c r="I10" t="s">
        <v>30</v>
      </c>
      <c r="J10" t="n">
        <v>0.801068090787716969</v>
      </c>
      <c r="K10" t="n">
        <v>0</v>
      </c>
      <c r="L10" t="n">
        <v>0.801068090787716969</v>
      </c>
      <c r="M10" t="n">
        <v>18380</v>
      </c>
      <c r="N10" t="n">
        <v>0.101717104888825993</v>
      </c>
      <c r="O10" t="n">
        <v>2.13618157543390996</v>
      </c>
      <c r="P10" t="n">
        <v>4.53496603481271965</v>
      </c>
      <c r="Q10" t="n">
        <v>97</v>
      </c>
      <c r="R10" t="n">
        <v>1.75974399999999997</v>
      </c>
      <c r="S10" t="n">
        <v>9.58999999999999986</v>
      </c>
    </row>
    <row r="11" spans="1:19">
      <c r="A11" s="6" t="n">
        <v>9</v>
      </c>
      <c r="B11" t="s">
        <v>123</v>
      </c>
      <c r="C11" t="n">
        <v>74.4166666666666998</v>
      </c>
      <c r="D11" t="n">
        <v>81.6901944444444013</v>
      </c>
      <c r="E11" t="n">
        <v>5.74000000000000021</v>
      </c>
      <c r="F11" t="s">
        <v>24</v>
      </c>
      <c r="G11" t="n">
        <v>15.4989000000000008</v>
      </c>
      <c r="H11" s="8" t="n">
        <v>43731.0916666667035</v>
      </c>
      <c r="I11" t="s">
        <v>38</v>
      </c>
      <c r="J11" t="n">
        <v>0.522648083623692994</v>
      </c>
      <c r="K11" t="n">
        <v>0</v>
      </c>
      <c r="L11" t="n">
        <v>0.522648083623692994</v>
      </c>
      <c r="M11" t="n">
        <v>10765</v>
      </c>
      <c r="N11" t="n">
        <v>0.0768887014202821018</v>
      </c>
      <c r="O11" t="n">
        <v>1.74216027874564006</v>
      </c>
      <c r="P11" t="n">
        <v>4.45719465964321948</v>
      </c>
      <c r="Q11" t="n">
        <v>109</v>
      </c>
      <c r="R11" t="n">
        <v>1.60378299999999996</v>
      </c>
      <c r="S11" t="n">
        <v>10.5399999999999991</v>
      </c>
    </row>
    <row r="12" spans="1:19">
      <c r="A12" s="6" t="n">
        <v>10</v>
      </c>
      <c r="B12" t="s">
        <v>124</v>
      </c>
      <c r="C12" t="n">
        <v>75.6133333333333013</v>
      </c>
      <c r="D12" t="n">
        <v>86.9895833333333002</v>
      </c>
      <c r="E12" t="n">
        <v>5.12899999999999956</v>
      </c>
      <c r="F12" t="s">
        <v>24</v>
      </c>
      <c r="G12" t="n">
        <v>25.7560000000000002</v>
      </c>
      <c r="H12" s="8" t="n">
        <v>43731.599652777797</v>
      </c>
      <c r="I12" t="s">
        <v>30</v>
      </c>
      <c r="J12" t="n">
        <v>0</v>
      </c>
      <c r="K12" t="n">
        <v>0</v>
      </c>
      <c r="L12" t="n">
        <v>0</v>
      </c>
      <c r="N12" t="n">
        <v>0</v>
      </c>
      <c r="O12" t="n">
        <v>2.33963735620978941</v>
      </c>
      <c r="P12" t="n">
        <v>4.33769127944211963</v>
      </c>
      <c r="Q12" t="n">
        <v>121</v>
      </c>
      <c r="R12" t="n">
        <v>2.4479820000000001</v>
      </c>
      <c r="S12" t="n">
        <v>10.1799999999999997</v>
      </c>
    </row>
    <row r="13" spans="1:19">
      <c r="A13" s="6" t="n">
        <v>11</v>
      </c>
      <c r="B13" t="s">
        <v>125</v>
      </c>
      <c r="C13" t="n">
        <v>76.8173333333333943</v>
      </c>
      <c r="D13" t="n">
        <v>92.3991666666666021</v>
      </c>
      <c r="E13" t="n">
        <v>4.55900000000000016</v>
      </c>
      <c r="F13" t="s">
        <v>24</v>
      </c>
      <c r="G13" t="n">
        <v>29.5111999999999988</v>
      </c>
      <c r="H13" s="8" t="n">
        <v>43732.0944444444904</v>
      </c>
      <c r="I13" t="s">
        <v>44</v>
      </c>
      <c r="J13" t="n">
        <v>1.09673173941653989</v>
      </c>
      <c r="K13" t="n">
        <v>0.438692695766616048</v>
      </c>
      <c r="L13" t="n">
        <v>0.658039043649923094</v>
      </c>
      <c r="M13" t="n">
        <v>51904</v>
      </c>
      <c r="N13" t="n">
        <v>2.7398064938778095</v>
      </c>
      <c r="O13" t="n">
        <v>3.07084887036630994</v>
      </c>
      <c r="P13" t="n">
        <v>4.23428201781908964</v>
      </c>
      <c r="Q13" t="n">
        <v>133</v>
      </c>
      <c r="R13" t="n">
        <v>2.69276999999999989</v>
      </c>
      <c r="S13" t="n">
        <v>8.69999999999999929</v>
      </c>
    </row>
    <row r="14" spans="1:19">
      <c r="A14" s="6" t="n">
        <v>12</v>
      </c>
      <c r="B14" t="s">
        <v>126</v>
      </c>
      <c r="C14" t="n">
        <v>77.5040833333333126</v>
      </c>
      <c r="D14" t="n">
        <v>98.4015166666666943</v>
      </c>
      <c r="E14" t="n">
        <v>2.85099999999999998</v>
      </c>
      <c r="F14" t="s">
        <v>24</v>
      </c>
      <c r="G14" t="n">
        <v>29.9239999999999995</v>
      </c>
      <c r="H14" s="8" t="n">
        <v>43732.5104166667006</v>
      </c>
      <c r="I14" t="s">
        <v>44</v>
      </c>
      <c r="J14" t="n">
        <v>0.70150824272185206</v>
      </c>
      <c r="K14" t="n">
        <v>0.70150824272185206</v>
      </c>
      <c r="L14" t="n">
        <v>0</v>
      </c>
      <c r="M14" t="n">
        <v>67000</v>
      </c>
      <c r="N14" t="n">
        <v>3.02770957558750986</v>
      </c>
      <c r="O14" t="n">
        <v>2.80603297088741002</v>
      </c>
      <c r="P14" t="n">
        <v>5.30803409537084026</v>
      </c>
      <c r="Q14" t="n">
        <v>143</v>
      </c>
      <c r="R14" t="n">
        <v>2.64135300000000006</v>
      </c>
      <c r="S14" t="n">
        <v>2.74000000000000021</v>
      </c>
    </row>
    <row r="15" spans="1:19">
      <c r="A15" s="6" t="n">
        <v>13</v>
      </c>
      <c r="B15" t="s">
        <v>127</v>
      </c>
      <c r="C15" t="n">
        <v>77.8962333333333987</v>
      </c>
      <c r="D15" t="n">
        <v>102.439999999999998</v>
      </c>
      <c r="E15" t="n">
        <v>1.94500000000000011</v>
      </c>
      <c r="F15" t="s">
        <v>24</v>
      </c>
      <c r="G15" t="n">
        <v>33.997799999999998</v>
      </c>
      <c r="H15" s="8" t="n">
        <v>43732.8201388888992</v>
      </c>
      <c r="I15" t="s">
        <v>44</v>
      </c>
      <c r="J15" t="n">
        <v>1.54241645244215997</v>
      </c>
      <c r="K15" t="n">
        <v>1.54241645244215997</v>
      </c>
      <c r="L15" t="n">
        <v>0</v>
      </c>
      <c r="M15" t="n">
        <v>58833.3333333332994</v>
      </c>
      <c r="N15" t="n">
        <v>1.75215424164523998</v>
      </c>
      <c r="O15" t="n">
        <v>6.68380462724935942</v>
      </c>
      <c r="P15" t="n">
        <v>2.54002693824641002</v>
      </c>
      <c r="Q15" t="n">
        <v>150</v>
      </c>
      <c r="R15" t="n">
        <v>2.84731900000000024</v>
      </c>
      <c r="S15" t="n">
        <v>4.86000000000000032</v>
      </c>
    </row>
    <row r="16" spans="1:19">
      <c r="A16" s="6" t="n">
        <v>14</v>
      </c>
      <c r="B16" t="s">
        <v>128</v>
      </c>
      <c r="C16" t="n">
        <v>77.8414166666667029</v>
      </c>
      <c r="D16" t="n">
        <v>106.833958333333996</v>
      </c>
      <c r="E16" t="n">
        <v>2.41199999999999992</v>
      </c>
      <c r="F16" t="s">
        <v>46</v>
      </c>
      <c r="G16" t="n">
        <v>29.9782000000000011</v>
      </c>
      <c r="H16" s="8" t="n">
        <v>43733.2281250000015</v>
      </c>
      <c r="I16" t="s">
        <v>44</v>
      </c>
      <c r="J16" t="n">
        <v>1.65837479270315002</v>
      </c>
      <c r="K16" t="n">
        <v>0.414593698175788017</v>
      </c>
      <c r="L16" t="n">
        <v>1.24378109452735996</v>
      </c>
      <c r="M16" t="n">
        <v>13388.75</v>
      </c>
      <c r="N16" t="n">
        <v>0.378058933289310017</v>
      </c>
      <c r="O16" t="n">
        <v>3.31674958540630005</v>
      </c>
      <c r="P16" t="n">
        <v>2.94237986007891017</v>
      </c>
      <c r="Q16" t="n">
        <v>160</v>
      </c>
      <c r="R16" t="n">
        <v>2.67920800000000003</v>
      </c>
      <c r="S16" t="n">
        <v>9.61999999999999922</v>
      </c>
    </row>
    <row r="17" spans="1:19">
      <c r="A17" s="6" t="n">
        <v>15</v>
      </c>
      <c r="B17" t="s">
        <v>129</v>
      </c>
      <c r="C17" t="n">
        <v>77.6481749999999806</v>
      </c>
      <c r="D17" t="n">
        <v>112.619233333333995</v>
      </c>
      <c r="E17" t="n">
        <v>3.29499999999999993</v>
      </c>
      <c r="F17" t="s">
        <v>46</v>
      </c>
      <c r="G17" t="n">
        <v>30.3905999999999992</v>
      </c>
      <c r="H17" s="8" t="n">
        <v>43733.7295138888949</v>
      </c>
      <c r="I17" t="s">
        <v>44</v>
      </c>
      <c r="J17" t="n">
        <v>1.51745068285280986</v>
      </c>
      <c r="K17" t="n">
        <v>0.606980273141123039</v>
      </c>
      <c r="L17" t="n">
        <v>0.91047040971168407</v>
      </c>
      <c r="M17" t="n">
        <v>17227</v>
      </c>
      <c r="N17" t="n">
        <v>0.921445746055846193</v>
      </c>
      <c r="O17" t="n">
        <v>3.94537177541729989</v>
      </c>
      <c r="P17" t="n">
        <v>3.61501572183404907</v>
      </c>
      <c r="Q17" t="n">
        <v>172</v>
      </c>
      <c r="R17" t="n">
        <v>2.81036399999999986</v>
      </c>
      <c r="S17" t="n">
        <v>6.80999999999999961</v>
      </c>
    </row>
    <row r="18" spans="1:19">
      <c r="A18" s="6" t="n">
        <v>16</v>
      </c>
      <c r="B18" t="s">
        <v>130</v>
      </c>
      <c r="C18" t="n">
        <v>77.3637250000000023</v>
      </c>
      <c r="D18" t="n">
        <v>118.639725000000013</v>
      </c>
      <c r="E18" t="n">
        <v>3.3620000000000001</v>
      </c>
      <c r="F18" t="s">
        <v>46</v>
      </c>
      <c r="G18" t="n">
        <v>30.4143000000000008</v>
      </c>
      <c r="H18" s="8" t="n">
        <v>43734.2055555555999</v>
      </c>
      <c r="I18" t="s">
        <v>44</v>
      </c>
      <c r="J18" t="n">
        <v>1.18976799524092991</v>
      </c>
      <c r="K18" t="n">
        <v>0.892325996430695767</v>
      </c>
      <c r="L18" t="n">
        <v>0.297441998810231922</v>
      </c>
      <c r="M18" t="n">
        <v>52110</v>
      </c>
      <c r="N18" t="n">
        <v>4.39221856331148075</v>
      </c>
      <c r="O18" t="n">
        <v>5.35395597858416927</v>
      </c>
      <c r="P18" t="n">
        <v>3.71701705928033999</v>
      </c>
      <c r="Q18" t="n">
        <v>184</v>
      </c>
      <c r="R18" t="n">
        <v>2.81383299999999981</v>
      </c>
      <c r="S18" t="n">
        <v>7.53000000000000025</v>
      </c>
    </row>
    <row r="19" spans="1:19">
      <c r="A19" s="6" t="n">
        <v>17</v>
      </c>
      <c r="B19" t="s">
        <v>131</v>
      </c>
      <c r="C19" t="n">
        <v>76.9864500000000049</v>
      </c>
      <c r="D19" t="n">
        <v>123.771633333333995</v>
      </c>
      <c r="E19" t="n">
        <v>2.43400000000000016</v>
      </c>
      <c r="F19" t="s">
        <v>46</v>
      </c>
      <c r="G19" t="n">
        <v>28.5021999999999984</v>
      </c>
      <c r="H19" s="8" t="n">
        <v>43734.6427083332965</v>
      </c>
      <c r="I19" t="s">
        <v>44</v>
      </c>
      <c r="J19" t="n">
        <v>1.23253903040263002</v>
      </c>
      <c r="K19" t="n">
        <v>0</v>
      </c>
      <c r="L19" t="n">
        <v>1.23253903040263002</v>
      </c>
      <c r="M19" t="n">
        <v>25205</v>
      </c>
      <c r="N19" t="n">
        <v>0.512385178566662969</v>
      </c>
      <c r="O19" t="n">
        <v>4.51930977814296941</v>
      </c>
      <c r="P19" t="n">
        <v>3.39957461524728011</v>
      </c>
      <c r="Q19" t="n">
        <v>194</v>
      </c>
      <c r="R19" t="n">
        <v>2.70422099999999999</v>
      </c>
      <c r="S19" t="n">
        <v>8.01999999999999957</v>
      </c>
    </row>
    <row r="20" spans="1:19">
      <c r="A20" s="6" t="n">
        <v>18</v>
      </c>
      <c r="B20" t="s">
        <v>132</v>
      </c>
      <c r="C20" t="n">
        <v>76.8416416666667033</v>
      </c>
      <c r="D20" t="n">
        <v>129.101591666667019</v>
      </c>
      <c r="E20" t="n">
        <v>2.81199999999999974</v>
      </c>
      <c r="F20" t="s">
        <v>46</v>
      </c>
      <c r="G20" t="n">
        <v>30.4965000000000011</v>
      </c>
      <c r="H20" s="8" t="n">
        <v>43735.0927083333008</v>
      </c>
      <c r="I20" t="s">
        <v>44</v>
      </c>
      <c r="J20" t="n">
        <v>0.355618776671408021</v>
      </c>
      <c r="K20" t="n">
        <v>0</v>
      </c>
      <c r="L20" t="n">
        <v>0.355618776671408021</v>
      </c>
      <c r="M20" t="n">
        <v>27960</v>
      </c>
      <c r="N20" t="n">
        <v>0.16399515847099801</v>
      </c>
      <c r="O20" t="n">
        <v>4.97866287339971958</v>
      </c>
      <c r="P20" t="n">
        <v>3.85527263707888004</v>
      </c>
      <c r="Q20" t="n">
        <v>205</v>
      </c>
      <c r="R20" t="n">
        <v>2.79048400000000019</v>
      </c>
      <c r="S20" t="n">
        <v>9.32000000000000028</v>
      </c>
    </row>
    <row r="21" spans="1:19">
      <c r="A21" s="6" t="n">
        <v>19</v>
      </c>
      <c r="B21" t="s">
        <v>133</v>
      </c>
      <c r="C21" t="n">
        <v>76.864658333333395</v>
      </c>
      <c r="D21" t="n">
        <v>136.479066666666995</v>
      </c>
      <c r="E21" t="n">
        <v>2.27899999999999991</v>
      </c>
      <c r="F21" t="s">
        <v>46</v>
      </c>
      <c r="G21" t="n">
        <v>24.9341000000000008</v>
      </c>
      <c r="H21" s="8" t="n">
        <v>43735.589930555594</v>
      </c>
      <c r="I21" t="s">
        <v>30</v>
      </c>
      <c r="J21" t="n">
        <v>0.438788942518647929</v>
      </c>
      <c r="K21" t="n">
        <v>0.438788942518647929</v>
      </c>
      <c r="L21" t="n">
        <v>0</v>
      </c>
      <c r="M21" t="n">
        <v>270000</v>
      </c>
      <c r="N21" t="n">
        <v>2.18701184730144949</v>
      </c>
      <c r="O21" t="n">
        <v>4.8266783677051297</v>
      </c>
      <c r="P21" t="n">
        <v>4.86993951107537004</v>
      </c>
      <c r="Q21" t="n">
        <v>217</v>
      </c>
      <c r="R21" t="n">
        <v>2.32175999999999982</v>
      </c>
      <c r="S21" t="n">
        <v>10.1099999999999994</v>
      </c>
    </row>
    <row r="22" spans="1:19">
      <c r="A22" s="6" t="n">
        <v>20</v>
      </c>
      <c r="B22" t="s">
        <v>134</v>
      </c>
      <c r="C22" t="n">
        <v>76.7122250000000037</v>
      </c>
      <c r="D22" t="n">
        <v>144.514666666667011</v>
      </c>
      <c r="E22" t="n">
        <v>2.35000000000000009</v>
      </c>
      <c r="F22" t="s">
        <v>55</v>
      </c>
      <c r="G22" t="n">
        <v>20.5381999999999998</v>
      </c>
      <c r="H22" s="8" t="n">
        <v>43736.0909722221986</v>
      </c>
      <c r="I22" t="s">
        <v>30</v>
      </c>
      <c r="J22" t="n">
        <v>1.7021276595744701</v>
      </c>
      <c r="K22" t="n">
        <v>0</v>
      </c>
      <c r="L22" t="n">
        <v>1.7021276595744701</v>
      </c>
      <c r="M22" t="n">
        <v>9018.75</v>
      </c>
      <c r="N22" t="n">
        <v>0.209786533683146947</v>
      </c>
      <c r="O22" t="n">
        <v>3.82978723404254993</v>
      </c>
      <c r="P22" t="n">
        <v>4.68734298656629012</v>
      </c>
      <c r="Q22" t="n">
        <v>229</v>
      </c>
      <c r="R22" t="n">
        <v>1.94631700000000016</v>
      </c>
      <c r="S22" t="n">
        <v>9.49000000000000021</v>
      </c>
    </row>
    <row r="23" spans="1:19">
      <c r="A23" s="6" t="n">
        <v>21</v>
      </c>
      <c r="B23" t="s">
        <v>135</v>
      </c>
      <c r="C23" t="n">
        <v>76.6836333333333044</v>
      </c>
      <c r="D23" t="n">
        <v>148.670600000000007</v>
      </c>
      <c r="E23" t="n">
        <v>1.63700000000000001</v>
      </c>
      <c r="F23" t="s">
        <v>55</v>
      </c>
      <c r="G23" t="n">
        <v>25.0036999999999985</v>
      </c>
      <c r="H23" s="8" t="n">
        <v>43736.5190972222044</v>
      </c>
      <c r="I23" t="s">
        <v>30</v>
      </c>
      <c r="J23" t="n">
        <v>1.83262064752596014</v>
      </c>
      <c r="K23" t="n">
        <v>1.22174709835064021</v>
      </c>
      <c r="L23" t="n">
        <v>0.610873549175320996</v>
      </c>
      <c r="M23" t="n">
        <v>14295</v>
      </c>
      <c r="N23" t="n">
        <v>0.709426968587250073</v>
      </c>
      <c r="O23" t="n">
        <v>3.6652412950519202</v>
      </c>
      <c r="P23" t="n">
        <v>0.673307749285181956</v>
      </c>
      <c r="Q23" t="n">
        <v>239</v>
      </c>
      <c r="R23" t="n">
        <v>2.33384299999999989</v>
      </c>
      <c r="S23" t="n">
        <v>4.86000000000000032</v>
      </c>
    </row>
    <row r="24" spans="1:19">
      <c r="A24" s="6" t="n">
        <v>22</v>
      </c>
      <c r="B24" t="s">
        <v>136</v>
      </c>
      <c r="C24" t="n">
        <v>76.6795916666666812</v>
      </c>
      <c r="D24" t="n">
        <v>148.974008333332989</v>
      </c>
      <c r="E24" t="n">
        <v>1.92699999999999996</v>
      </c>
      <c r="F24" t="s">
        <v>55</v>
      </c>
      <c r="G24" t="n">
        <v>25.1341000000000001</v>
      </c>
      <c r="H24" s="8" t="n">
        <v>43736.8836805554965</v>
      </c>
      <c r="I24" t="s">
        <v>30</v>
      </c>
      <c r="J24" t="n">
        <v>1.03788271925272002</v>
      </c>
      <c r="K24" t="n">
        <v>0.518941359626361987</v>
      </c>
      <c r="L24" t="n">
        <v>0.518941359626361987</v>
      </c>
      <c r="M24" t="n">
        <v>69792.5</v>
      </c>
      <c r="N24" t="n">
        <v>1.25697499122073997</v>
      </c>
      <c r="O24" t="n">
        <v>3.11364815775817005</v>
      </c>
      <c r="P24" t="n">
        <v>0.58259932881605403</v>
      </c>
      <c r="Q24" t="n">
        <v>248</v>
      </c>
      <c r="R24" t="n">
        <v>2.34319899999999981</v>
      </c>
      <c r="S24" t="n">
        <v>4.82000000000000028</v>
      </c>
    </row>
    <row r="25" spans="1:19">
      <c r="A25" s="6" t="n">
        <v>23</v>
      </c>
      <c r="B25" t="s">
        <v>137</v>
      </c>
      <c r="C25" t="n">
        <v>76.4554666666666947</v>
      </c>
      <c r="D25" t="n">
        <v>151.647066666667001</v>
      </c>
      <c r="E25" t="n">
        <v>2.81199999999999974</v>
      </c>
      <c r="F25" t="s">
        <v>55</v>
      </c>
      <c r="G25" t="n">
        <v>24.8807000000000009</v>
      </c>
      <c r="H25" s="8" t="n">
        <v>43737.2895833333023</v>
      </c>
      <c r="I25" t="s">
        <v>30</v>
      </c>
      <c r="J25" t="n">
        <v>0.355618776671408021</v>
      </c>
      <c r="K25" t="n">
        <v>0</v>
      </c>
      <c r="L25" t="n">
        <v>0.355618776671408021</v>
      </c>
      <c r="M25" t="n">
        <v>78585</v>
      </c>
      <c r="N25" t="n">
        <v>0.381912146254707974</v>
      </c>
      <c r="O25" t="n">
        <v>1.42247510668563004</v>
      </c>
      <c r="P25" t="n">
        <v>3.59975914496873983</v>
      </c>
      <c r="Q25" t="n">
        <v>258</v>
      </c>
      <c r="R25" t="n">
        <v>2.2713239999999999</v>
      </c>
      <c r="S25" t="n">
        <v>6.17999999999999972</v>
      </c>
    </row>
    <row r="26" spans="1:19">
      <c r="A26" s="6" t="n">
        <v>24</v>
      </c>
      <c r="B26" t="s">
        <v>138</v>
      </c>
      <c r="C26" t="n">
        <v>75.8726999999999805</v>
      </c>
      <c r="D26" t="n">
        <v>156.528833333334006</v>
      </c>
      <c r="E26" t="n">
        <v>1.74900000000000011</v>
      </c>
      <c r="F26" t="s">
        <v>55</v>
      </c>
      <c r="G26" t="n">
        <v>21.7650000000000006</v>
      </c>
      <c r="H26" s="8" t="n">
        <v>43737.7517361111022</v>
      </c>
      <c r="I26" t="s">
        <v>30</v>
      </c>
      <c r="J26" t="n">
        <v>0.571755288736421008</v>
      </c>
      <c r="K26" t="n">
        <v>0</v>
      </c>
      <c r="L26" t="n">
        <v>0.571755288736421008</v>
      </c>
      <c r="M26" t="n">
        <v>32655</v>
      </c>
      <c r="N26" t="n">
        <v>0.255152018437930028</v>
      </c>
      <c r="O26" t="n">
        <v>6.2893081761006302</v>
      </c>
      <c r="P26" t="n">
        <v>3.86379039182155015</v>
      </c>
      <c r="Q26" t="n">
        <v>269</v>
      </c>
      <c r="R26" t="n">
        <v>2.00408099999999978</v>
      </c>
      <c r="S26" t="n">
        <v>7.26999999999999869</v>
      </c>
    </row>
    <row r="27" spans="1:19">
      <c r="A27" s="6" t="n">
        <v>25</v>
      </c>
      <c r="B27" t="s">
        <v>139</v>
      </c>
      <c r="C27" t="n">
        <v>75.2223666666665878</v>
      </c>
      <c r="D27" t="n">
        <v>159.797533333332979</v>
      </c>
      <c r="E27" t="n">
        <v>1.6080000000000001</v>
      </c>
      <c r="F27" t="s">
        <v>55</v>
      </c>
      <c r="G27" t="n">
        <v>24.8977000000000004</v>
      </c>
      <c r="H27" s="8" t="n">
        <v>43738.193402777797</v>
      </c>
      <c r="I27" t="s">
        <v>30</v>
      </c>
      <c r="J27" t="n">
        <v>0.62189054726368207</v>
      </c>
      <c r="K27" t="n">
        <v>0.62189054726368207</v>
      </c>
      <c r="L27" t="n">
        <v>0</v>
      </c>
      <c r="M27" t="n">
        <v>12200</v>
      </c>
      <c r="N27" t="n">
        <v>0.172985074626865991</v>
      </c>
      <c r="O27" t="n">
        <v>8.08457711442785865</v>
      </c>
      <c r="P27" t="n">
        <v>2.26827148752868002</v>
      </c>
      <c r="Q27" t="n">
        <v>279</v>
      </c>
      <c r="R27" t="n">
        <v>2.18948600000000004</v>
      </c>
      <c r="S27" t="n">
        <v>8.43999999999999773</v>
      </c>
    </row>
    <row r="28" spans="1:19">
      <c r="A28" s="6" t="n">
        <v>26</v>
      </c>
      <c r="B28" t="s">
        <v>140</v>
      </c>
      <c r="C28" t="n">
        <v>74.9415666666667022</v>
      </c>
      <c r="D28" t="n">
        <v>160.743850000000009</v>
      </c>
      <c r="E28" t="n">
        <v>2.31800000000000006</v>
      </c>
      <c r="F28" t="s">
        <v>55</v>
      </c>
      <c r="G28" t="n">
        <v>26.0127999999999986</v>
      </c>
      <c r="H28" s="8" t="n">
        <v>43738.6569444444031</v>
      </c>
      <c r="I28" t="s">
        <v>30</v>
      </c>
      <c r="J28" t="n">
        <v>0.431406384814494981</v>
      </c>
      <c r="K28" t="n">
        <v>0</v>
      </c>
      <c r="L28" t="n">
        <v>0.431406384814494981</v>
      </c>
      <c r="M28" t="n">
        <v>3435</v>
      </c>
      <c r="N28" t="n">
        <v>0.0202512781829604016</v>
      </c>
      <c r="O28" t="n">
        <v>5.17687661777393959</v>
      </c>
      <c r="P28" t="n">
        <v>0.233447308705728984</v>
      </c>
      <c r="Q28" t="n">
        <v>290</v>
      </c>
      <c r="R28" t="n">
        <v>2.30180600000000002</v>
      </c>
      <c r="S28" t="n">
        <v>7.16000000000000014</v>
      </c>
    </row>
    <row r="29" spans="1:19">
      <c r="A29" s="6" t="n">
        <v>27</v>
      </c>
      <c r="B29" t="s">
        <v>141</v>
      </c>
      <c r="C29" t="n">
        <v>74.9215833333334018</v>
      </c>
      <c r="D29" t="n">
        <v>163.163074999999992</v>
      </c>
      <c r="E29" t="n">
        <v>2.76100000000000012</v>
      </c>
      <c r="F29" t="s">
        <v>55</v>
      </c>
      <c r="G29" t="n">
        <v>26.0442</v>
      </c>
      <c r="H29" s="8" t="n">
        <v>43739.1413194444904</v>
      </c>
      <c r="I29" t="s">
        <v>30</v>
      </c>
      <c r="J29" t="n">
        <v>0.362187613183628976</v>
      </c>
      <c r="K29" t="n">
        <v>0.362187613183628976</v>
      </c>
      <c r="L29" t="n">
        <v>0</v>
      </c>
      <c r="M29" t="n">
        <v>60000</v>
      </c>
      <c r="N29" t="n">
        <v>1.91235059760956005</v>
      </c>
      <c r="O29" t="n">
        <v>6.51937703730531926</v>
      </c>
      <c r="P29" t="n">
        <v>3.64194273735432938</v>
      </c>
      <c r="Q29" t="n">
        <v>302</v>
      </c>
      <c r="R29" t="n">
        <v>2.27480299999999991</v>
      </c>
      <c r="S29" t="n">
        <v>5.09999999999999964</v>
      </c>
    </row>
    <row r="30" spans="1:19">
      <c r="A30" s="6" t="n">
        <v>28</v>
      </c>
      <c r="B30" t="s">
        <v>142</v>
      </c>
      <c r="C30" t="n">
        <v>74.9190499999999986</v>
      </c>
      <c r="D30" t="n">
        <v>160.856966666667006</v>
      </c>
      <c r="E30" t="n">
        <v>3.1339999999999999</v>
      </c>
      <c r="F30" t="s">
        <v>55</v>
      </c>
      <c r="G30" t="n">
        <v>25.8890999999999991</v>
      </c>
      <c r="H30" s="8" t="n">
        <v>43739.6378472221986</v>
      </c>
      <c r="I30" t="s">
        <v>30</v>
      </c>
      <c r="J30" t="n">
        <v>0.638162093171665923</v>
      </c>
      <c r="K30" t="n">
        <v>0</v>
      </c>
      <c r="L30" t="n">
        <v>0.638162093171665923</v>
      </c>
      <c r="M30" t="n">
        <v>4080</v>
      </c>
      <c r="N30" t="n">
        <v>0.0429437872622165973</v>
      </c>
      <c r="O30" t="n">
        <v>2.87172941927248981</v>
      </c>
      <c r="P30" t="n">
        <v>0.00547819949988368027</v>
      </c>
      <c r="Q30" t="n">
        <v>314</v>
      </c>
      <c r="R30" t="n">
        <v>2.29024599999999978</v>
      </c>
      <c r="S30" t="n">
        <v>2.60000000000000009</v>
      </c>
    </row>
    <row r="31" spans="1:19">
      <c r="A31" s="6" t="n">
        <v>29</v>
      </c>
      <c r="B31" t="s">
        <v>143</v>
      </c>
      <c r="C31" t="n">
        <v>74.9223166666666032</v>
      </c>
      <c r="D31" t="n">
        <v>160.875033333333988</v>
      </c>
      <c r="E31" t="n">
        <v>2.71399999999999997</v>
      </c>
      <c r="F31" t="s">
        <v>55</v>
      </c>
      <c r="G31" t="n">
        <v>25.9478000000000009</v>
      </c>
      <c r="H31" s="8" t="n">
        <v>43740.1989583332979</v>
      </c>
      <c r="I31" t="s">
        <v>30</v>
      </c>
      <c r="J31" t="n">
        <v>0.368459837877670981</v>
      </c>
      <c r="K31" t="n">
        <v>0</v>
      </c>
      <c r="L31" t="n">
        <v>0.368459837877670981</v>
      </c>
      <c r="M31" t="n">
        <v>78165</v>
      </c>
      <c r="N31" t="n">
        <v>0.475019748077078052</v>
      </c>
      <c r="O31" t="n">
        <v>3.68459837877670981</v>
      </c>
      <c r="P31" t="n">
        <v>0.0244234139804436001</v>
      </c>
      <c r="Q31" t="n">
        <v>327</v>
      </c>
      <c r="R31" t="n">
        <v>2.29192900000000011</v>
      </c>
      <c r="S31" t="n">
        <v>5.29000000000000004</v>
      </c>
    </row>
    <row r="32" spans="1:19">
      <c r="A32" s="6" t="n">
        <v>30</v>
      </c>
      <c r="B32" t="s">
        <v>144</v>
      </c>
      <c r="C32" t="n">
        <v>74.9119666666666006</v>
      </c>
      <c r="D32" t="n">
        <v>160.944933333332983</v>
      </c>
      <c r="E32" t="n">
        <v>2.9860000000000003</v>
      </c>
      <c r="F32" t="s">
        <v>55</v>
      </c>
      <c r="G32" t="n">
        <v>26.0474999999999994</v>
      </c>
      <c r="H32" s="8" t="n">
        <v>43740.7170138888978</v>
      </c>
      <c r="I32" t="s">
        <v>30</v>
      </c>
      <c r="J32" t="n">
        <v>0.334896182183523017</v>
      </c>
      <c r="K32" t="n">
        <v>0</v>
      </c>
      <c r="L32" t="n">
        <v>0.334896182183523017</v>
      </c>
      <c r="M32" t="n">
        <v>14325</v>
      </c>
      <c r="N32" t="n">
        <v>0.0791250510730198009</v>
      </c>
      <c r="O32" t="n">
        <v>2.67916945746817969</v>
      </c>
      <c r="P32" t="n">
        <v>0.10067204968829</v>
      </c>
      <c r="Q32" t="n">
        <v>340</v>
      </c>
      <c r="R32" t="n">
        <v>2.30506300000000008</v>
      </c>
      <c r="S32" t="n">
        <v>3.85</v>
      </c>
    </row>
    <row r="33" spans="1:19">
      <c r="A33" s="6" t="n">
        <v>31</v>
      </c>
      <c r="B33" t="s">
        <v>145</v>
      </c>
      <c r="C33" t="n">
        <v>74.9179416666667066</v>
      </c>
      <c r="D33" t="n">
        <v>160.760891666667021</v>
      </c>
      <c r="E33" t="n">
        <v>2.18800000000000017</v>
      </c>
      <c r="F33" t="s">
        <v>55</v>
      </c>
      <c r="G33" t="n">
        <v>26.0174999999999983</v>
      </c>
      <c r="H33" s="8" t="n">
        <v>43741.1576388888934</v>
      </c>
      <c r="I33" t="s">
        <v>30</v>
      </c>
      <c r="J33" t="n">
        <v>0</v>
      </c>
      <c r="K33" t="n">
        <v>0</v>
      </c>
      <c r="L33" t="n">
        <v>0</v>
      </c>
      <c r="N33" t="n">
        <v>0</v>
      </c>
      <c r="O33" t="n">
        <v>2.28519195612431014</v>
      </c>
      <c r="P33" t="n">
        <v>0.438491670425911018</v>
      </c>
      <c r="Q33" t="n">
        <v>350</v>
      </c>
      <c r="R33" t="n">
        <v>2.30348599999999992</v>
      </c>
      <c r="S33" t="n">
        <v>7.16999999999999993</v>
      </c>
    </row>
    <row r="34" spans="1:19">
      <c r="A34" s="6" t="n">
        <v>32</v>
      </c>
      <c r="B34" t="s">
        <v>146</v>
      </c>
      <c r="C34" t="n">
        <v>74.3998666666666821</v>
      </c>
      <c r="D34" t="n">
        <v>157.07204999999999</v>
      </c>
      <c r="E34" t="n">
        <v>3.21300000000000008</v>
      </c>
      <c r="F34" t="s">
        <v>55</v>
      </c>
      <c r="G34" t="n">
        <v>22.6361999999999988</v>
      </c>
      <c r="H34" s="8" t="n">
        <v>43741.6770833332994</v>
      </c>
      <c r="I34" t="s">
        <v>30</v>
      </c>
      <c r="J34" t="n">
        <v>0</v>
      </c>
      <c r="K34" t="n">
        <v>0</v>
      </c>
      <c r="L34" t="n">
        <v>0</v>
      </c>
      <c r="N34" t="n">
        <v>0</v>
      </c>
      <c r="O34" t="n">
        <v>1.24494242141300981</v>
      </c>
      <c r="P34" t="n">
        <v>4.20641103252618986</v>
      </c>
      <c r="Q34" t="n">
        <v>363</v>
      </c>
      <c r="R34" t="n">
        <v>2.04105399999999992</v>
      </c>
      <c r="S34" t="n">
        <v>10.7100000000000009</v>
      </c>
    </row>
    <row r="35" spans="1:19">
      <c r="A35" s="6" t="n">
        <v>33</v>
      </c>
      <c r="B35" t="s">
        <v>147</v>
      </c>
      <c r="C35" t="n">
        <v>73.5301916666666813</v>
      </c>
      <c r="D35" t="n">
        <v>151.328924999999998</v>
      </c>
      <c r="E35" t="n">
        <v>1.8</v>
      </c>
      <c r="F35" t="s">
        <v>55</v>
      </c>
      <c r="G35" t="n">
        <v>20.5470000000000006</v>
      </c>
      <c r="H35" s="8" t="n">
        <v>43742.1937499999985</v>
      </c>
      <c r="I35" t="s">
        <v>30</v>
      </c>
      <c r="J35" t="n">
        <v>0.555555555555556158</v>
      </c>
      <c r="K35" t="n">
        <v>0</v>
      </c>
      <c r="L35" t="n">
        <v>0.555555555555556158</v>
      </c>
      <c r="M35" t="n">
        <v>15900</v>
      </c>
      <c r="N35" t="n">
        <v>0.145691359310227009</v>
      </c>
      <c r="O35" t="n">
        <v>3.33333333333332993</v>
      </c>
      <c r="P35" t="n">
        <v>5.05308937860974972</v>
      </c>
      <c r="Q35" t="n">
        <v>375</v>
      </c>
      <c r="R35" t="n">
        <v>1.89991200000000013</v>
      </c>
      <c r="S35" t="n">
        <v>10.4399999999999995</v>
      </c>
    </row>
    <row r="36" spans="1:19">
      <c r="A36" s="6" t="n">
        <v>34</v>
      </c>
      <c r="B36" t="s">
        <v>148</v>
      </c>
      <c r="C36" t="n">
        <v>73.1174583333333032</v>
      </c>
      <c r="D36" t="n">
        <v>147.178141666666988</v>
      </c>
      <c r="E36" t="n">
        <v>1.13100000000000001</v>
      </c>
      <c r="F36" t="s">
        <v>55</v>
      </c>
      <c r="G36" t="n">
        <v>21.7051000000000016</v>
      </c>
      <c r="H36" s="8" t="n">
        <v>43742.5309027777985</v>
      </c>
      <c r="I36" t="s">
        <v>30</v>
      </c>
      <c r="J36" t="n">
        <v>0</v>
      </c>
      <c r="K36" t="n">
        <v>0</v>
      </c>
      <c r="L36" t="n">
        <v>0</v>
      </c>
      <c r="N36" t="n">
        <v>0</v>
      </c>
      <c r="O36" t="n">
        <v>6.18921308576481</v>
      </c>
      <c r="P36" t="n">
        <v>4.81118855215955943</v>
      </c>
      <c r="Q36" t="n">
        <v>383</v>
      </c>
      <c r="R36" t="n">
        <v>1.99179299999999984</v>
      </c>
      <c r="S36" t="n">
        <v>9.97000000000000064</v>
      </c>
    </row>
    <row r="37" spans="1:19">
      <c r="A37" s="6" t="n">
        <v>35</v>
      </c>
      <c r="B37" t="s">
        <v>149</v>
      </c>
      <c r="C37" t="n">
        <v>72.9700083333332969</v>
      </c>
      <c r="D37" t="n">
        <v>142.954366666666004</v>
      </c>
      <c r="E37" t="n">
        <v>3.13700000000000001</v>
      </c>
      <c r="F37" t="s">
        <v>55</v>
      </c>
      <c r="G37" t="n">
        <v>18.5076000000000001</v>
      </c>
      <c r="H37" s="8" t="n">
        <v>43743.0256944444045</v>
      </c>
      <c r="I37" t="s">
        <v>30</v>
      </c>
      <c r="J37" t="n">
        <v>2.23143130379343013</v>
      </c>
      <c r="K37" t="n">
        <v>0</v>
      </c>
      <c r="L37" t="n">
        <v>2.23143130379343013</v>
      </c>
      <c r="M37" t="n">
        <v>9990</v>
      </c>
      <c r="N37" t="n">
        <v>0.347701300024800997</v>
      </c>
      <c r="O37" t="n">
        <v>4.1440867070449503</v>
      </c>
      <c r="P37" t="n">
        <v>2.58247691254393974</v>
      </c>
      <c r="Q37" t="n">
        <v>395</v>
      </c>
      <c r="R37" t="n">
        <v>1.77340099999999996</v>
      </c>
      <c r="S37" t="n">
        <v>6.19000000000000039</v>
      </c>
    </row>
    <row r="38" spans="1:19">
      <c r="A38" s="6" t="n">
        <v>36</v>
      </c>
      <c r="B38" t="s">
        <v>150</v>
      </c>
      <c r="C38" t="n">
        <v>72.971100000000007</v>
      </c>
      <c r="D38" t="n">
        <v>140.048433333334003</v>
      </c>
      <c r="E38" t="n">
        <v>1.20799999999999996</v>
      </c>
      <c r="F38" t="s">
        <v>55</v>
      </c>
      <c r="G38" t="n">
        <v>21.3526999999999987</v>
      </c>
      <c r="H38" s="8" t="n">
        <v>43743.5055555555955</v>
      </c>
      <c r="I38" t="s">
        <v>30</v>
      </c>
      <c r="J38" t="n">
        <v>1.65562913907284992</v>
      </c>
      <c r="K38" t="n">
        <v>0</v>
      </c>
      <c r="L38" t="n">
        <v>1.65562913907284992</v>
      </c>
      <c r="M38" t="n">
        <v>40492.5</v>
      </c>
      <c r="N38" t="n">
        <v>1.10572423469999004</v>
      </c>
      <c r="O38" t="n">
        <v>5.79470198675496917</v>
      </c>
      <c r="P38" t="n">
        <v>1.76279417760209984</v>
      </c>
      <c r="Q38" t="n">
        <v>407</v>
      </c>
      <c r="R38" t="n">
        <v>1.93729599999999991</v>
      </c>
      <c r="S38" t="n">
        <v>9.88000000000000078</v>
      </c>
    </row>
    <row r="39" spans="1:19">
      <c r="A39" s="6" t="n">
        <v>37</v>
      </c>
      <c r="B39" t="s">
        <v>151</v>
      </c>
      <c r="C39" t="n">
        <v>73.0778999999999996</v>
      </c>
      <c r="D39" t="n">
        <v>134.986874999999998</v>
      </c>
      <c r="E39" t="n">
        <v>3.27400000000000002</v>
      </c>
      <c r="F39" t="s">
        <v>46</v>
      </c>
      <c r="G39" t="n">
        <v>18.948599999999999</v>
      </c>
      <c r="H39" s="8" t="n">
        <v>43744.0270833332979</v>
      </c>
      <c r="I39" t="s">
        <v>30</v>
      </c>
      <c r="J39" t="n">
        <v>0</v>
      </c>
      <c r="K39" t="n">
        <v>0</v>
      </c>
      <c r="L39" t="n">
        <v>0</v>
      </c>
      <c r="N39" t="n">
        <v>0</v>
      </c>
      <c r="O39" t="n">
        <v>1.52718387293830027</v>
      </c>
      <c r="P39" t="n">
        <v>4.31990982565084014</v>
      </c>
      <c r="Q39" t="n">
        <v>419</v>
      </c>
      <c r="R39" t="n">
        <v>1.78988299999999967</v>
      </c>
      <c r="S39" t="n">
        <v>11.2300000000000004</v>
      </c>
    </row>
    <row r="40" spans="1:19">
      <c r="A40" s="6" t="n">
        <v>38</v>
      </c>
      <c r="B40" t="s">
        <v>152</v>
      </c>
      <c r="C40" t="n">
        <v>73.1126333333332923</v>
      </c>
      <c r="D40" t="n">
        <v>130.404533333332978</v>
      </c>
      <c r="E40" t="n">
        <v>2.31400000000000006</v>
      </c>
      <c r="F40" t="s">
        <v>46</v>
      </c>
      <c r="G40" t="n">
        <v>13.9146000000000001</v>
      </c>
      <c r="H40" s="8" t="n">
        <v>43745.2062500000029</v>
      </c>
      <c r="I40" t="s">
        <v>38</v>
      </c>
      <c r="J40" t="n">
        <v>1.29645635263612991</v>
      </c>
      <c r="K40" t="n">
        <v>0</v>
      </c>
      <c r="L40" t="n">
        <v>1.29645635263612991</v>
      </c>
      <c r="M40" t="n">
        <v>10105</v>
      </c>
      <c r="N40" t="n">
        <v>0.216074438976347016</v>
      </c>
      <c r="O40" t="n">
        <v>5.18582541054450985</v>
      </c>
      <c r="P40" t="n">
        <v>0.0672889119930375035</v>
      </c>
      <c r="Q40" t="n">
        <v>448</v>
      </c>
      <c r="R40" t="n">
        <v>1.33847899999999997</v>
      </c>
      <c r="S40" t="n">
        <v>5.95000000000000018</v>
      </c>
    </row>
    <row r="41" spans="1:19">
      <c r="A41" s="6" t="n">
        <v>39</v>
      </c>
      <c r="B41" t="s">
        <v>153</v>
      </c>
      <c r="C41" t="n">
        <v>73.3475083333332947</v>
      </c>
      <c r="D41" t="n">
        <v>130.268266666666989</v>
      </c>
      <c r="E41" t="n">
        <v>1.61500000000000004</v>
      </c>
      <c r="F41" t="s">
        <v>46</v>
      </c>
      <c r="G41" t="n">
        <v>13.6984999999999992</v>
      </c>
      <c r="H41" s="8" t="n">
        <v>43745.1861111110993</v>
      </c>
      <c r="I41" t="s">
        <v>38</v>
      </c>
      <c r="J41" t="n">
        <v>0.619195046439628971</v>
      </c>
      <c r="K41" t="n">
        <v>0</v>
      </c>
      <c r="L41" t="n">
        <v>0.619195046439628971</v>
      </c>
      <c r="M41" t="n">
        <v>73620</v>
      </c>
      <c r="N41" t="n">
        <v>0.751852178684656014</v>
      </c>
      <c r="O41" t="n">
        <v>3.71517027863776939</v>
      </c>
      <c r="P41" t="n">
        <v>1.71967412340327996</v>
      </c>
      <c r="Q41" t="n">
        <v>447</v>
      </c>
      <c r="R41" t="n">
        <v>1.31980900000000001</v>
      </c>
      <c r="S41" t="n">
        <v>7.54999999999999982</v>
      </c>
    </row>
    <row r="42" spans="1:19">
      <c r="A42" s="6" t="n">
        <v>40</v>
      </c>
      <c r="B42" t="s">
        <v>154</v>
      </c>
      <c r="C42" t="n">
        <v>74.2567916666667003</v>
      </c>
      <c r="D42" t="n">
        <v>129.504625000000004</v>
      </c>
      <c r="E42" t="n">
        <v>3.19200000000000017</v>
      </c>
      <c r="F42" t="s">
        <v>46</v>
      </c>
      <c r="G42" t="n">
        <v>16.8242000000000012</v>
      </c>
      <c r="H42" s="8" t="n">
        <v>43745.662152777797</v>
      </c>
      <c r="I42" t="s">
        <v>30</v>
      </c>
      <c r="J42" t="n">
        <v>0</v>
      </c>
      <c r="K42" t="n">
        <v>0</v>
      </c>
      <c r="L42" t="n">
        <v>0</v>
      </c>
      <c r="N42" t="n">
        <v>0</v>
      </c>
      <c r="O42" t="n">
        <v>5.95238095238094989</v>
      </c>
      <c r="P42" t="n">
        <v>3.15089235077705965</v>
      </c>
      <c r="Q42" t="n">
        <v>459</v>
      </c>
      <c r="R42" t="n">
        <v>1.56413700000000011</v>
      </c>
      <c r="S42" t="n">
        <v>2.4700000000000002</v>
      </c>
    </row>
    <row r="43" spans="1:19">
      <c r="A43" s="6" t="n">
        <v>41</v>
      </c>
      <c r="B43" t="s">
        <v>155</v>
      </c>
      <c r="C43" t="n">
        <v>74.9670166666666944</v>
      </c>
      <c r="D43" t="n">
        <v>127.796233333334001</v>
      </c>
      <c r="E43" t="n">
        <v>3.01500000000000012</v>
      </c>
      <c r="F43" t="s">
        <v>46</v>
      </c>
      <c r="G43" t="n">
        <v>16.6213000000000015</v>
      </c>
      <c r="H43" s="8" t="n">
        <v>43746.2354166666919</v>
      </c>
      <c r="I43" t="s">
        <v>30</v>
      </c>
      <c r="J43" t="n">
        <v>0.66334991708126001</v>
      </c>
      <c r="K43" t="n">
        <v>0</v>
      </c>
      <c r="L43" t="n">
        <v>0.66334991708126001</v>
      </c>
      <c r="M43" t="n">
        <v>25837.5</v>
      </c>
      <c r="N43" t="n">
        <v>0.271178057808036943</v>
      </c>
      <c r="O43" t="n">
        <v>4.31177446102818962</v>
      </c>
      <c r="P43" t="n">
        <v>1.19801705112892009</v>
      </c>
      <c r="Q43" t="n">
        <v>472</v>
      </c>
      <c r="R43" t="n">
        <v>1.54608900000000009</v>
      </c>
      <c r="S43" t="n">
        <v>10.9600000000000009</v>
      </c>
    </row>
    <row r="44" spans="1:19">
      <c r="A44" s="6" t="n">
        <v>42</v>
      </c>
      <c r="B44" t="s">
        <v>156</v>
      </c>
      <c r="C44" t="n">
        <v>75.1053166666666812</v>
      </c>
      <c r="D44" t="n">
        <v>127.97759166666701</v>
      </c>
      <c r="E44" t="n">
        <v>1.93200000000000003</v>
      </c>
      <c r="F44" t="s">
        <v>46</v>
      </c>
      <c r="G44" t="n">
        <v>18.2819000000000003</v>
      </c>
      <c r="H44" s="8" t="n">
        <v>43746.71875</v>
      </c>
      <c r="I44" t="s">
        <v>30</v>
      </c>
      <c r="J44" t="n">
        <v>0.517598343685300044</v>
      </c>
      <c r="K44" t="n">
        <v>0</v>
      </c>
      <c r="L44" t="n">
        <v>0.517598343685300044</v>
      </c>
      <c r="M44" t="n">
        <v>2430</v>
      </c>
      <c r="N44" t="n">
        <v>0.0171885119796950958</v>
      </c>
      <c r="O44" t="n">
        <v>4.1407867494824</v>
      </c>
      <c r="P44" t="n">
        <v>2.05359186814878036</v>
      </c>
      <c r="Q44" t="n">
        <v>484</v>
      </c>
      <c r="R44" t="n">
        <v>1.68125100000000005</v>
      </c>
      <c r="S44" t="n">
        <v>10.7599999999999998</v>
      </c>
    </row>
    <row r="45" spans="1:19">
      <c r="A45" s="6" t="n">
        <v>43</v>
      </c>
      <c r="B45" t="s">
        <v>157</v>
      </c>
      <c r="C45" t="n">
        <v>75.8032999999999788</v>
      </c>
      <c r="D45" t="n">
        <v>127.302225000000007</v>
      </c>
      <c r="E45" t="n">
        <v>4.39799999999999969</v>
      </c>
      <c r="F45" t="s">
        <v>46</v>
      </c>
      <c r="G45" t="n">
        <v>21.7494000000000014</v>
      </c>
      <c r="H45" s="8" t="n">
        <v>43747.4215277777985</v>
      </c>
      <c r="I45" t="s">
        <v>30</v>
      </c>
      <c r="J45" t="n">
        <v>0.90950432014552085</v>
      </c>
      <c r="K45" t="n">
        <v>0.454752160072759981</v>
      </c>
      <c r="L45" t="n">
        <v>0.454752160072759981</v>
      </c>
      <c r="M45" t="n">
        <v>20942.5</v>
      </c>
      <c r="N45" t="n">
        <v>0.548343825689503017</v>
      </c>
      <c r="O45" t="n">
        <v>2.95588904047294001</v>
      </c>
      <c r="P45" t="n">
        <v>1.9320435918385801</v>
      </c>
      <c r="Q45" t="n">
        <v>501</v>
      </c>
      <c r="R45" t="n">
        <v>1.97184299999999997</v>
      </c>
      <c r="S45" t="n">
        <v>10.4900000000000002</v>
      </c>
    </row>
    <row r="46" spans="1:19">
      <c r="A46" s="6" t="n">
        <v>44</v>
      </c>
      <c r="B46" t="s">
        <v>158</v>
      </c>
      <c r="C46" t="n">
        <v>76.5790750000000031</v>
      </c>
      <c r="D46" t="n">
        <v>125.679541666667006</v>
      </c>
      <c r="E46" t="n">
        <v>2.66100000000000003</v>
      </c>
      <c r="F46" t="s">
        <v>46</v>
      </c>
      <c r="G46" t="n">
        <v>25.9719000000000015</v>
      </c>
      <c r="H46" s="8" t="n">
        <v>43748.2274305555984</v>
      </c>
      <c r="I46" t="s">
        <v>30</v>
      </c>
      <c r="J46" t="n">
        <v>0</v>
      </c>
      <c r="K46" t="n">
        <v>0</v>
      </c>
      <c r="L46" t="n">
        <v>0</v>
      </c>
      <c r="N46" t="n">
        <v>0</v>
      </c>
      <c r="O46" t="n">
        <v>1.12739571589627996</v>
      </c>
      <c r="P46" t="n">
        <v>0.814288475341968976</v>
      </c>
      <c r="Q46" t="n">
        <v>520</v>
      </c>
      <c r="R46" t="n">
        <v>2.37389200000000011</v>
      </c>
      <c r="S46" t="n">
        <v>10.2200000000000006</v>
      </c>
    </row>
    <row r="47" spans="1:19">
      <c r="A47" s="6" t="n">
        <v>45</v>
      </c>
      <c r="B47" t="s">
        <v>159</v>
      </c>
      <c r="C47" t="n">
        <v>76.7778333333333052</v>
      </c>
      <c r="D47" t="n">
        <v>125.832383333333013</v>
      </c>
      <c r="E47" t="n">
        <v>1.45100000000000007</v>
      </c>
      <c r="F47" t="s">
        <v>46</v>
      </c>
      <c r="G47" t="n">
        <v>29.4481000000000002</v>
      </c>
      <c r="H47" s="8" t="n">
        <v>43748.6979166667006</v>
      </c>
      <c r="I47" t="s">
        <v>44</v>
      </c>
      <c r="J47" t="n">
        <v>0</v>
      </c>
      <c r="K47" t="n">
        <v>0</v>
      </c>
      <c r="L47" t="n">
        <v>0</v>
      </c>
      <c r="N47" t="n">
        <v>0</v>
      </c>
      <c r="O47" t="n">
        <v>2.06753962784287015</v>
      </c>
      <c r="P47" t="n">
        <v>0.0463005673220310854</v>
      </c>
      <c r="Q47" t="n">
        <v>531</v>
      </c>
      <c r="R47" t="n">
        <v>2.82550100000000004</v>
      </c>
      <c r="S47" t="n">
        <v>4.70000000000000018</v>
      </c>
    </row>
    <row r="48" spans="1:19">
      <c r="A48" s="6" t="n">
        <v>46</v>
      </c>
      <c r="B48" t="s">
        <v>160</v>
      </c>
      <c r="C48" t="n">
        <v>76.8324916666665985</v>
      </c>
      <c r="D48" t="n">
        <v>126.758049999999997</v>
      </c>
      <c r="E48" t="n">
        <v>2.97299999999999986</v>
      </c>
      <c r="F48" t="s">
        <v>46</v>
      </c>
      <c r="G48" t="n">
        <v>29.8670000000000009</v>
      </c>
      <c r="H48" s="8" t="n">
        <v>43749.2104166666977</v>
      </c>
      <c r="I48" t="s">
        <v>44</v>
      </c>
      <c r="J48" t="n">
        <v>0</v>
      </c>
      <c r="K48" t="n">
        <v>0</v>
      </c>
      <c r="L48" t="n">
        <v>0</v>
      </c>
      <c r="N48" t="n">
        <v>0</v>
      </c>
      <c r="O48" t="n">
        <v>1.00908173562058989</v>
      </c>
      <c r="P48" t="n">
        <v>0.861715347441593771</v>
      </c>
      <c r="Q48" t="n">
        <v>544</v>
      </c>
      <c r="R48" t="n">
        <v>2.8241360000000002</v>
      </c>
      <c r="S48" t="n">
        <v>7.83000000000000007</v>
      </c>
    </row>
    <row r="49" spans="1:19">
      <c r="A49" s="6" t="n">
        <v>47</v>
      </c>
      <c r="B49" t="s">
        <v>161</v>
      </c>
      <c r="C49" t="n">
        <v>76.8939749999999833</v>
      </c>
      <c r="D49" t="n">
        <v>127.774891666667003</v>
      </c>
      <c r="E49" t="n">
        <v>1.59200000000000008</v>
      </c>
      <c r="F49" t="s">
        <v>46</v>
      </c>
      <c r="G49" t="n">
        <v>30.4063000000000017</v>
      </c>
      <c r="H49" s="8" t="n">
        <v>43749.7652777777985</v>
      </c>
      <c r="I49" t="s">
        <v>44</v>
      </c>
      <c r="J49" t="n">
        <v>0</v>
      </c>
      <c r="K49" t="n">
        <v>0</v>
      </c>
      <c r="L49" t="n">
        <v>0</v>
      </c>
      <c r="N49" t="n">
        <v>0</v>
      </c>
      <c r="O49" t="n">
        <v>3.76884422110552952</v>
      </c>
      <c r="P49" t="n">
        <v>0.045117292737889505</v>
      </c>
      <c r="Q49" t="n">
        <v>557</v>
      </c>
      <c r="R49" t="n">
        <v>2.85033499999999975</v>
      </c>
      <c r="S49" t="n">
        <v>5.08000000000000007</v>
      </c>
    </row>
    <row r="50" spans="1:19">
      <c r="A50" s="6" t="n">
        <v>48</v>
      </c>
      <c r="B50" t="s">
        <v>162</v>
      </c>
      <c r="C50" t="n">
        <v>76.9589083333332979</v>
      </c>
      <c r="D50" t="n">
        <v>127.177016666667015</v>
      </c>
      <c r="E50" t="n">
        <v>1.99399999999999995</v>
      </c>
      <c r="F50" t="s">
        <v>46</v>
      </c>
      <c r="G50" t="n">
        <v>28.9531999999999989</v>
      </c>
      <c r="H50" s="8" t="n">
        <v>43750.2413194444962</v>
      </c>
      <c r="I50" t="s">
        <v>44</v>
      </c>
      <c r="J50" t="n">
        <v>1.00300902708123996</v>
      </c>
      <c r="K50" t="n">
        <v>0</v>
      </c>
      <c r="L50" t="n">
        <v>1.00300902708123996</v>
      </c>
      <c r="M50" t="n">
        <v>3907.5</v>
      </c>
      <c r="N50" t="n">
        <v>0.0646417349979799916</v>
      </c>
      <c r="O50" t="n">
        <v>3.51053159478435006</v>
      </c>
      <c r="P50" t="n">
        <v>0.76159040345930773</v>
      </c>
      <c r="Q50" t="n">
        <v>568</v>
      </c>
      <c r="R50" t="n">
        <v>2.6083280000000002</v>
      </c>
      <c r="S50" t="n">
        <v>9.55000000000000071</v>
      </c>
    </row>
    <row r="51" spans="1:19">
      <c r="A51" s="6" t="n">
        <v>49</v>
      </c>
      <c r="B51" t="s">
        <v>163</v>
      </c>
      <c r="C51" t="n">
        <v>77.2262583333334049</v>
      </c>
      <c r="D51" t="n">
        <v>124.386508333332998</v>
      </c>
      <c r="E51" t="n">
        <v>3.33199999999999985</v>
      </c>
      <c r="F51" t="s">
        <v>46</v>
      </c>
      <c r="G51" t="n">
        <v>30.1466999999999992</v>
      </c>
      <c r="H51" s="8" t="n">
        <v>43750.7156249999971</v>
      </c>
      <c r="I51" t="s">
        <v>44</v>
      </c>
      <c r="J51" t="n">
        <v>0.300120048019207974</v>
      </c>
      <c r="K51" t="n">
        <v>0</v>
      </c>
      <c r="L51" t="n">
        <v>0.300120048019207974</v>
      </c>
      <c r="M51" t="n">
        <v>11100</v>
      </c>
      <c r="N51" t="n">
        <v>0.0863419409521263148</v>
      </c>
      <c r="O51" t="n">
        <v>1.80072028811524998</v>
      </c>
      <c r="P51" t="n">
        <v>2.78210092793439978</v>
      </c>
      <c r="Q51" t="n">
        <v>580</v>
      </c>
      <c r="R51" t="n">
        <v>2.62947299999999995</v>
      </c>
      <c r="S51" t="n">
        <v>9.55000000000000071</v>
      </c>
    </row>
    <row r="52" spans="1:19">
      <c r="A52" s="6" t="n">
        <v>50</v>
      </c>
      <c r="B52" t="s">
        <v>164</v>
      </c>
      <c r="C52" t="n">
        <v>77.5927250000000015</v>
      </c>
      <c r="D52" t="n">
        <v>113.229308333334004</v>
      </c>
      <c r="E52" t="n">
        <v>2.96400000000000006</v>
      </c>
      <c r="F52" t="s">
        <v>46</v>
      </c>
      <c r="G52" t="n">
        <v>30.7678000000000011</v>
      </c>
      <c r="H52" s="8" t="n">
        <v>43751.7256944444962</v>
      </c>
      <c r="I52" t="s">
        <v>44</v>
      </c>
      <c r="J52" t="n">
        <v>1.01214574898784981</v>
      </c>
      <c r="K52" t="n">
        <v>0.674763832658570006</v>
      </c>
      <c r="L52" t="n">
        <v>0.337381916329285003</v>
      </c>
      <c r="M52" t="n">
        <v>11541.3333333332994</v>
      </c>
      <c r="N52" t="n">
        <v>0.212401871974044942</v>
      </c>
      <c r="O52" t="n">
        <v>2.0242914979757094</v>
      </c>
      <c r="P52" t="n">
        <v>3.20843940724686005</v>
      </c>
      <c r="Q52" t="n">
        <v>604</v>
      </c>
      <c r="R52" t="n">
        <v>2.65839500000000006</v>
      </c>
      <c r="S52" t="n">
        <v>9.99000000000000021</v>
      </c>
    </row>
    <row r="53" spans="1:19">
      <c r="A53" s="6" t="n">
        <v>51</v>
      </c>
      <c r="B53" t="s">
        <v>165</v>
      </c>
      <c r="C53" t="n">
        <v>77.9613750000000039</v>
      </c>
      <c r="D53" t="n">
        <v>104.183783333334006</v>
      </c>
      <c r="E53" t="n">
        <v>0.417999999999999972</v>
      </c>
      <c r="F53" t="s">
        <v>24</v>
      </c>
      <c r="G53" t="n">
        <v>30.7952000000000012</v>
      </c>
      <c r="H53" s="8" t="n">
        <v>43752.724652777797</v>
      </c>
      <c r="I53" t="s">
        <v>44</v>
      </c>
      <c r="J53" t="n">
        <v>2.39234449760765999</v>
      </c>
      <c r="K53" t="n">
        <v>2.39234449760765999</v>
      </c>
      <c r="L53" t="n">
        <v>0</v>
      </c>
      <c r="M53" t="n">
        <v>16000</v>
      </c>
      <c r="N53" t="n">
        <v>1.26315789473684004</v>
      </c>
      <c r="O53" t="n">
        <v>33.4928229665071981</v>
      </c>
      <c r="P53" t="n">
        <v>0.266604511509040032</v>
      </c>
      <c r="Q53" t="n">
        <v>628</v>
      </c>
      <c r="R53" t="n">
        <v>2.52476300000000009</v>
      </c>
      <c r="S53" t="n">
        <v>4.33000000000000007</v>
      </c>
    </row>
    <row r="54" spans="1:19">
      <c r="A54" s="6" t="n">
        <v>52</v>
      </c>
      <c r="B54" t="s">
        <v>166</v>
      </c>
      <c r="C54" t="n">
        <v>76.1688166666667001</v>
      </c>
      <c r="D54" t="n">
        <v>88.9497166666667027</v>
      </c>
      <c r="E54" t="n">
        <v>3.14599999999999991</v>
      </c>
      <c r="F54" t="s">
        <v>24</v>
      </c>
      <c r="G54" t="n">
        <v>29.2829000000000015</v>
      </c>
      <c r="H54" s="8" t="n">
        <v>43754.3097222221986</v>
      </c>
      <c r="I54" t="s">
        <v>44</v>
      </c>
      <c r="J54" t="n">
        <v>0.953591862682771918</v>
      </c>
      <c r="K54" t="n">
        <v>0.953591862682771918</v>
      </c>
      <c r="L54" t="n">
        <v>0</v>
      </c>
      <c r="M54" t="n">
        <v>102800</v>
      </c>
      <c r="N54" t="n">
        <v>2.59543547361728955</v>
      </c>
      <c r="O54" t="n">
        <v>1.90718372536553993</v>
      </c>
      <c r="P54" t="n">
        <v>0.157862293586036984</v>
      </c>
      <c r="Q54" t="n">
        <v>666</v>
      </c>
      <c r="R54" t="n">
        <v>2.48417200000000005</v>
      </c>
      <c r="S54" t="n">
        <v>10.2300000000000004</v>
      </c>
    </row>
    <row r="55" spans="1:19">
      <c r="A55" s="6" t="n">
        <v>53</v>
      </c>
      <c r="B55" t="s">
        <v>167</v>
      </c>
      <c r="C55" t="n">
        <v>73.8142916666667048</v>
      </c>
      <c r="D55" t="n">
        <v>73.9179749999999984</v>
      </c>
      <c r="E55" t="n">
        <v>2.46799999999999997</v>
      </c>
      <c r="F55" t="s">
        <v>24</v>
      </c>
      <c r="G55" t="n">
        <v>16.174199999999999</v>
      </c>
      <c r="H55" s="8" t="n">
        <v>43755.1829861110964</v>
      </c>
      <c r="I55" t="s">
        <v>30</v>
      </c>
      <c r="J55" t="n">
        <v>0</v>
      </c>
      <c r="K55" t="n">
        <v>0</v>
      </c>
      <c r="L55" t="n">
        <v>0</v>
      </c>
      <c r="N55" t="n">
        <v>0</v>
      </c>
      <c r="O55" t="n">
        <v>1.62074554294975997</v>
      </c>
      <c r="P55" t="n">
        <v>1.00916210806896989</v>
      </c>
      <c r="Q55" t="n">
        <v>687</v>
      </c>
      <c r="R55" t="n">
        <v>1.47244100000000007</v>
      </c>
      <c r="S55" t="n">
        <v>10.8599999999999994</v>
      </c>
    </row>
    <row r="56" spans="1:19">
      <c r="A56" s="6" t="n">
        <v>54</v>
      </c>
      <c r="B56" t="s">
        <v>168</v>
      </c>
      <c r="C56" t="n">
        <v>73.3167666666666946</v>
      </c>
      <c r="D56" t="n">
        <v>69.4572666666666976</v>
      </c>
      <c r="E56" t="n">
        <v>1.90799999999999983</v>
      </c>
      <c r="F56" t="s">
        <v>24</v>
      </c>
      <c r="G56" t="n">
        <v>30.876100000000001</v>
      </c>
      <c r="H56" s="8" t="n">
        <v>43755.9357638888978</v>
      </c>
      <c r="I56" t="s">
        <v>20</v>
      </c>
      <c r="J56" t="n">
        <v>1.57232704402515999</v>
      </c>
      <c r="K56" t="n">
        <v>0.524109014675051998</v>
      </c>
      <c r="L56" t="n">
        <v>1.04821802935011021</v>
      </c>
      <c r="M56" t="n">
        <v>16855</v>
      </c>
      <c r="N56" t="n">
        <v>0.436219144118449975</v>
      </c>
      <c r="O56" t="n">
        <v>8.90985324947589064</v>
      </c>
      <c r="P56" t="n">
        <v>3.44537712860255985</v>
      </c>
      <c r="Q56" t="n">
        <v>705</v>
      </c>
      <c r="R56" t="n">
        <v>2.72601499999999985</v>
      </c>
      <c r="S56" t="n">
        <v>3.60000000000000009</v>
      </c>
    </row>
    <row r="57" spans="1:19">
      <c r="A57" s="6" t="n">
        <v>55</v>
      </c>
      <c r="B57" t="s">
        <v>169</v>
      </c>
      <c r="C57" t="n">
        <v>72.5251250000000027</v>
      </c>
      <c r="D57" t="n">
        <v>64.1342250000000007</v>
      </c>
      <c r="E57" t="n">
        <v>3.15200000000000014</v>
      </c>
      <c r="F57" t="s">
        <v>24</v>
      </c>
      <c r="G57" t="n">
        <v>32.0611000000000033</v>
      </c>
      <c r="H57" s="8" t="n">
        <v>43756.5218749999985</v>
      </c>
      <c r="I57" t="s">
        <v>20</v>
      </c>
      <c r="J57" t="n">
        <v>0.951776649746193293</v>
      </c>
      <c r="K57" t="n">
        <v>0</v>
      </c>
      <c r="L57" t="n">
        <v>0.951776649746193293</v>
      </c>
      <c r="M57" t="n">
        <v>3545</v>
      </c>
      <c r="N57" t="n">
        <v>0.055649396834508007</v>
      </c>
      <c r="O57" t="n">
        <v>3.1725888324873095</v>
      </c>
      <c r="P57" t="n">
        <v>5.59888298452108035</v>
      </c>
      <c r="Q57" t="n">
        <v>719</v>
      </c>
      <c r="R57" t="n">
        <v>2.9024280000000001</v>
      </c>
      <c r="S57" t="n">
        <v>3.60000000000000009</v>
      </c>
    </row>
    <row r="58" spans="1:19">
      <c r="A58" s="6" t="n">
        <v>56</v>
      </c>
      <c r="B58" t="s">
        <v>170</v>
      </c>
      <c r="C58" t="n">
        <v>71.7200166666666945</v>
      </c>
      <c r="D58" t="n">
        <v>61.5681749999999965</v>
      </c>
      <c r="E58" t="n">
        <v>1.07600000000000007</v>
      </c>
      <c r="F58" t="s">
        <v>24</v>
      </c>
      <c r="G58" t="n">
        <v>32.0728000000000009</v>
      </c>
      <c r="H58" s="8" t="n">
        <v>43756.8170138888963</v>
      </c>
      <c r="I58" t="s">
        <v>20</v>
      </c>
      <c r="J58" t="n">
        <v>1.8587360594795495</v>
      </c>
      <c r="K58" t="n">
        <v>1.8587360594795495</v>
      </c>
      <c r="L58" t="n">
        <v>0</v>
      </c>
      <c r="M58" t="n">
        <v>18000</v>
      </c>
      <c r="N58" t="n">
        <v>0.866171003717471955</v>
      </c>
      <c r="O58" t="n">
        <v>10.2230483271375991</v>
      </c>
      <c r="P58" t="n">
        <v>4.37625827251527966</v>
      </c>
      <c r="Q58" t="n">
        <v>726</v>
      </c>
      <c r="R58" t="n">
        <v>2.94093699999999991</v>
      </c>
      <c r="S58" t="n">
        <v>3.60000000000000009</v>
      </c>
    </row>
    <row r="59" spans="1:19">
      <c r="A59" s="6" t="n">
        <v>57</v>
      </c>
      <c r="B59" t="s">
        <v>171</v>
      </c>
      <c r="C59" t="n">
        <v>70.7802083333333059</v>
      </c>
      <c r="D59" t="n">
        <v>58.3867166666667003</v>
      </c>
      <c r="E59" t="n">
        <v>2.8879999999999999</v>
      </c>
      <c r="F59" t="s">
        <v>24</v>
      </c>
      <c r="G59" t="n">
        <v>28.2165999999999997</v>
      </c>
      <c r="H59" s="8" t="n">
        <v>43757.3312500000029</v>
      </c>
      <c r="I59" t="s">
        <v>20</v>
      </c>
      <c r="J59" t="n">
        <v>1.73130193905816991</v>
      </c>
      <c r="K59" t="n">
        <v>1.38504155124653995</v>
      </c>
      <c r="L59" t="n">
        <v>0.346260387811633974</v>
      </c>
      <c r="M59" t="n">
        <v>63872</v>
      </c>
      <c r="N59" t="n">
        <v>4.34772240642513985</v>
      </c>
      <c r="O59" t="n">
        <v>4.84764542936288034</v>
      </c>
      <c r="P59" t="n">
        <v>3.17447592443748983</v>
      </c>
      <c r="Q59" t="n">
        <v>739</v>
      </c>
      <c r="R59" t="n">
        <v>2.59423000000000004</v>
      </c>
      <c r="S59" t="n">
        <v>3.60000000000000009</v>
      </c>
    </row>
    <row r="60" spans="1:19">
      <c r="A60" s="6" t="n">
        <v>58</v>
      </c>
      <c r="B60" t="s">
        <v>172</v>
      </c>
      <c r="C60" t="n">
        <v>69.821666666666701</v>
      </c>
      <c r="D60" t="n">
        <v>50.7141666666666922</v>
      </c>
      <c r="E60" t="n">
        <v>3.64100000000000001</v>
      </c>
      <c r="F60" t="s">
        <v>18</v>
      </c>
      <c r="G60" t="n">
        <v>33.8402000000000029</v>
      </c>
      <c r="H60" s="8" t="n">
        <v>43758.2385416667021</v>
      </c>
      <c r="I60" t="s">
        <v>20</v>
      </c>
      <c r="J60" t="n">
        <v>0.27464982147761603</v>
      </c>
      <c r="K60" t="n">
        <v>0</v>
      </c>
      <c r="L60" t="n">
        <v>0.27464982147761603</v>
      </c>
      <c r="M60" t="n">
        <v>1500</v>
      </c>
      <c r="N60" t="n">
        <v>0.0056300170460514698</v>
      </c>
      <c r="O60" t="n">
        <v>1.37324910738807993</v>
      </c>
      <c r="P60" t="n">
        <v>4.86981315013658023</v>
      </c>
      <c r="Q60" t="n">
        <v>760</v>
      </c>
      <c r="R60" t="n">
        <v>3.24734800000000012</v>
      </c>
      <c r="S60" t="n">
        <v>3.60000000000000009</v>
      </c>
    </row>
    <row r="61" spans="1:19">
      <c r="A61" s="6" t="n">
        <v>59</v>
      </c>
      <c r="B61" t="s">
        <v>173</v>
      </c>
      <c r="C61" t="n">
        <v>68.1683333333332797</v>
      </c>
      <c r="D61" t="n">
        <v>43.2968055555555935</v>
      </c>
      <c r="E61" t="n">
        <v>0.540000000000000036</v>
      </c>
      <c r="F61" t="s">
        <v>18</v>
      </c>
      <c r="G61" t="n">
        <v>31.5903999999999989</v>
      </c>
      <c r="H61" s="8" t="n">
        <v>43759.1197916667006</v>
      </c>
      <c r="I61" t="s">
        <v>20</v>
      </c>
      <c r="J61" t="n">
        <v>1.85185185185184977</v>
      </c>
      <c r="K61" t="n">
        <v>0</v>
      </c>
      <c r="L61" t="n">
        <v>1.85185185185184977</v>
      </c>
      <c r="M61" t="n">
        <v>12345</v>
      </c>
      <c r="N61" t="n">
        <v>0.377056568277724047</v>
      </c>
      <c r="O61" t="n">
        <v>3.70370370370369972</v>
      </c>
      <c r="P61" t="n">
        <v>4.49478570679451028</v>
      </c>
      <c r="Q61" t="n">
        <v>782</v>
      </c>
      <c r="R61" t="n">
        <v>3.12257300000000004</v>
      </c>
      <c r="S61" t="n">
        <v>3.60000000000000009</v>
      </c>
    </row>
  </sheetData>
  <printOptions>
    <extLst>
      <ext uri="smNativeData">
        <pm:pageFlags xmlns:pm="smNativeData" id="1605907435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Roman"&amp;12&amp;A</oddHeader>
    <oddFooter>&amp;C&amp;"Times New Roman"&amp;12Страница &amp;P</oddFooter>
    <extLst>
      <ext uri="smNativeData">
        <pm:header xmlns:pm="smNativeData" id="1605907435" l="56" r="56" t="56" b="56" borderId="0" fillId="0" vertical="0"/>
        <pm:footer xmlns:pm="smNativeData" id="1605907435" l="56" r="56" t="56" b="56" borderId="0" fillId="0" vertical="2"/>
      </ext>
    </extLst>
  </headerFooter>
  <extLst>
    <ext uri="smNativeData">
      <pm:sheetPrefs xmlns:pm="smNativeData" day="16059074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H121"/>
  <sheetViews>
    <sheetView view="normal" workbookViewId="0">
      <selection activeCell="H1" sqref="H1"/>
    </sheetView>
  </sheetViews>
  <sheetFormatPr defaultRowHeight="15.40"/>
  <cols>
    <col min="1" max="1" width="8.553571" customWidth="1" style="0"/>
    <col min="2" max="2" width="22.035714" customWidth="1" style="11"/>
    <col min="3" max="3" width="11.553571" customWidth="1" style="12"/>
    <col min="7" max="7" width="19.946429" customWidth="1" style="0"/>
    <col min="8" max="8" width="24.803571" customWidth="1" style="13"/>
  </cols>
  <sheetData>
    <row r="1" spans="1:8">
      <c r="A1" s="14" t="s">
        <v>174</v>
      </c>
      <c r="B1" s="15" t="s">
        <v>175</v>
      </c>
      <c r="C1" s="16" t="s">
        <v>176</v>
      </c>
      <c r="D1" t="s">
        <v>177</v>
      </c>
      <c r="E1" t="s">
        <v>178</v>
      </c>
      <c r="F1" t="s">
        <v>179</v>
      </c>
      <c r="G1" s="17" t="s">
        <v>6</v>
      </c>
      <c r="H1" s="13" t="s">
        <v>106</v>
      </c>
    </row>
    <row r="2" spans="1:8">
      <c r="A2" s="18" t="s">
        <v>180</v>
      </c>
      <c r="B2" s="19" t="n">
        <v>43726</v>
      </c>
      <c r="C2" s="20" t="n">
        <v>0.534722222222221966</v>
      </c>
      <c r="D2" t="n">
        <v>66.7416666666667027</v>
      </c>
      <c r="E2" t="n">
        <v>41.3611111111111072</v>
      </c>
      <c r="F2" t="s">
        <v>181</v>
      </c>
      <c r="G2" s="21">
        <f>B2+C2</f>
        <v>43726.5347222221972</v>
      </c>
      <c r="H2" s="13">
        <f>AVERAGE(G2:G3)</f>
        <v>43726.5784722222015</v>
      </c>
    </row>
    <row r="3" spans="1:7" hidden="1">
      <c r="A3" s="18"/>
      <c r="B3" s="19" t="n">
        <v>43726</v>
      </c>
      <c r="C3" s="20" t="n">
        <v>0.622222222222221877</v>
      </c>
      <c r="D3" t="n">
        <v>66.9861111111111001</v>
      </c>
      <c r="E3" t="n">
        <v>41.6669444444444039</v>
      </c>
      <c r="F3" t="s">
        <v>182</v>
      </c>
      <c r="G3" s="21">
        <f>B3+C3</f>
        <v>43726.6222222221986</v>
      </c>
      <extLst>
        <ext uri="smNativeData">
          <pm:rowDef xmlns:pm="smNativeData" id="1605907435" r="3" hidden="1" collapsedDB="0" collapsedOL="0"/>
        </ext>
      </extLst>
    </row>
    <row r="4" spans="1:8">
      <c r="A4" s="22" t="s">
        <v>115</v>
      </c>
      <c r="B4" s="23" t="n">
        <v>43727</v>
      </c>
      <c r="C4" s="24" t="n">
        <v>0.3625</v>
      </c>
      <c r="D4" t="n">
        <v>69.1558333333333053</v>
      </c>
      <c r="E4" t="n">
        <v>45.2586111111111009</v>
      </c>
      <c r="F4" t="s">
        <v>181</v>
      </c>
      <c r="G4" s="21">
        <f>B4+C4</f>
        <v>43727.3625000000029</v>
      </c>
      <c r="H4" s="13">
        <f>AVERAGE(G4:G5)</f>
        <v>43727.4954861110964</v>
      </c>
    </row>
    <row r="5" spans="1:7" hidden="1">
      <c r="A5" s="22"/>
      <c r="B5" s="23" t="n">
        <v>43727</v>
      </c>
      <c r="C5" s="24" t="n">
        <v>0.628472222222221966</v>
      </c>
      <c r="D5" t="n">
        <v>69.5888888888889028</v>
      </c>
      <c r="E5" t="n">
        <v>47.8688888888888968</v>
      </c>
      <c r="F5" t="s">
        <v>182</v>
      </c>
      <c r="G5" s="21">
        <f>B5+C5</f>
        <v>43727.6284722221972</v>
      </c>
      <extLst>
        <ext uri="smNativeData">
          <pm:rowDef xmlns:pm="smNativeData" id="1605907435" r="5" hidden="1" collapsedDB="0" collapsedOL="0"/>
        </ext>
      </extLst>
    </row>
    <row r="6" spans="1:8">
      <c r="A6" s="22" t="s">
        <v>116</v>
      </c>
      <c r="B6" s="23" t="n">
        <v>43727</v>
      </c>
      <c r="C6" s="24" t="n">
        <v>0.635416666666666963</v>
      </c>
      <c r="D6" t="n">
        <v>69.6055555555555969</v>
      </c>
      <c r="E6" t="n">
        <v>47.8855555555555981</v>
      </c>
      <c r="F6" t="s">
        <v>181</v>
      </c>
      <c r="G6" s="21">
        <f>B6+C6</f>
        <v>43727.6354166667006</v>
      </c>
      <c r="H6" s="13">
        <f>AVERAGE(G6:G7)</f>
        <v>43727.9909722223019</v>
      </c>
    </row>
    <row r="7" spans="1:7" hidden="1">
      <c r="A7" s="22"/>
      <c r="B7" s="23" t="n">
        <v>43728</v>
      </c>
      <c r="C7" s="24" t="n">
        <v>0.34652777777777799</v>
      </c>
      <c r="D7" t="n">
        <v>70.1491666666667015</v>
      </c>
      <c r="E7" t="n">
        <v>56.6086111111111023</v>
      </c>
      <c r="F7" t="s">
        <v>182</v>
      </c>
      <c r="G7" s="21">
        <f>B7+C7</f>
        <v>43728.3465277778014</v>
      </c>
      <extLst>
        <ext uri="smNativeData">
          <pm:rowDef xmlns:pm="smNativeData" id="1605907435" r="7" hidden="1" collapsedDB="0" collapsedOL="0"/>
        </ext>
      </extLst>
    </row>
    <row r="8" spans="1:8">
      <c r="A8" s="22" t="s">
        <v>117</v>
      </c>
      <c r="B8" s="23" t="n">
        <v>43728</v>
      </c>
      <c r="C8" s="24" t="n">
        <v>0.357638888888889017</v>
      </c>
      <c r="D8" t="n">
        <v>70.1552777777778118</v>
      </c>
      <c r="E8" t="n">
        <v>56.750833333333297</v>
      </c>
      <c r="F8" t="s">
        <v>181</v>
      </c>
      <c r="G8" s="21">
        <f>B8+C8</f>
        <v>43728.3576388888978</v>
      </c>
      <c r="H8" s="13">
        <f>AVERAGE(G8:G9)</f>
        <v>43728.5180555555999</v>
      </c>
    </row>
    <row r="9" spans="1:7" hidden="1">
      <c r="A9" s="22"/>
      <c r="B9" s="23" t="n">
        <v>43728</v>
      </c>
      <c r="C9" s="24" t="n">
        <v>0.678472222222222054</v>
      </c>
      <c r="D9" t="n">
        <v>70.5355555555556037</v>
      </c>
      <c r="E9" t="n">
        <v>58.4583333333333002</v>
      </c>
      <c r="F9" t="s">
        <v>182</v>
      </c>
      <c r="G9" s="21">
        <f>B9+C9</f>
        <v>43728.6784722222001</v>
      </c>
      <extLst>
        <ext uri="smNativeData">
          <pm:rowDef xmlns:pm="smNativeData" id="1605907435" r="9" hidden="1" collapsedDB="0" collapsedOL="0"/>
        </ext>
      </extLst>
    </row>
    <row r="10" spans="1:8">
      <c r="A10" s="22" t="s">
        <v>118</v>
      </c>
      <c r="B10" s="23" t="n">
        <v>43728</v>
      </c>
      <c r="C10" s="24" t="n">
        <v>0.980555555555555891</v>
      </c>
      <c r="D10" t="n">
        <v>70.9122222222221978</v>
      </c>
      <c r="E10" t="n">
        <v>59.5069444444444002</v>
      </c>
      <c r="F10" t="s">
        <v>181</v>
      </c>
      <c r="G10" s="21">
        <f>B10+C10</f>
        <v>43728.9805555556013</v>
      </c>
      <c r="H10" s="13">
        <f>AVERAGE(G10:G11)</f>
        <v>43729.1677083333998</v>
      </c>
    </row>
    <row r="11" spans="1:7" hidden="1">
      <c r="A11" s="22"/>
      <c r="B11" s="23" t="n">
        <v>43729</v>
      </c>
      <c r="C11" s="24" t="n">
        <v>0.354861111111111027</v>
      </c>
      <c r="D11" t="n">
        <v>72.1525000000000034</v>
      </c>
      <c r="E11" t="n">
        <v>63.0925000000000011</v>
      </c>
      <c r="F11" t="s">
        <v>182</v>
      </c>
      <c r="G11" s="21">
        <f>B11+C11</f>
        <v>43729.3548611110964</v>
      </c>
      <extLst>
        <ext uri="smNativeData">
          <pm:rowDef xmlns:pm="smNativeData" id="1605907435" r="11" hidden="1" collapsedDB="0" collapsedOL="0"/>
        </ext>
      </extLst>
    </row>
    <row r="12" spans="1:8">
      <c r="A12" s="22" t="s">
        <v>119</v>
      </c>
      <c r="B12" s="23" t="n">
        <v>43729</v>
      </c>
      <c r="C12" s="24" t="n">
        <v>0.368055555555555092</v>
      </c>
      <c r="D12" t="n">
        <v>72.1558333333333053</v>
      </c>
      <c r="E12" t="n">
        <v>63.1052777777778076</v>
      </c>
      <c r="F12" t="s">
        <v>181</v>
      </c>
      <c r="G12" s="21">
        <f>B12+C12</f>
        <v>43729.3680555555984</v>
      </c>
      <c r="H12" s="13">
        <f>AVERAGE(G12:G13)</f>
        <v>43729.5694444445035</v>
      </c>
    </row>
    <row r="13" spans="1:7" hidden="1">
      <c r="A13" s="22"/>
      <c r="B13" s="23" t="n">
        <v>43729</v>
      </c>
      <c r="C13" s="24" t="n">
        <v>0.770833333333333037</v>
      </c>
      <c r="D13" t="n">
        <v>73.2611111111111057</v>
      </c>
      <c r="E13" t="n">
        <v>66.591666666666697</v>
      </c>
      <c r="F13" t="s">
        <v>182</v>
      </c>
      <c r="G13" s="21">
        <f>B13+C13</f>
        <v>43729.7708333332994</v>
      </c>
      <extLst>
        <ext uri="smNativeData">
          <pm:rowDef xmlns:pm="smNativeData" id="1605907435" r="13" hidden="1" collapsedDB="0" collapsedOL="0"/>
        </ext>
      </extLst>
    </row>
    <row r="14" spans="1:8">
      <c r="A14" s="22" t="s">
        <v>120</v>
      </c>
      <c r="B14" s="23" t="n">
        <v>43729</v>
      </c>
      <c r="C14" s="25" t="n">
        <v>0.772222222222222054</v>
      </c>
      <c r="D14" t="n">
        <v>73.2633333333332928</v>
      </c>
      <c r="E14" t="n">
        <v>66.5938888888888982</v>
      </c>
      <c r="F14" t="s">
        <v>181</v>
      </c>
      <c r="G14" s="21">
        <f>B14+C14</f>
        <v>43729.7722222222001</v>
      </c>
      <c r="H14" s="13">
        <f>AVERAGE(G14:G15)</f>
        <v>43729.9291666666977</v>
      </c>
    </row>
    <row r="15" spans="1:7" hidden="1">
      <c r="A15" s="22"/>
      <c r="B15" s="26" t="n">
        <v>43730</v>
      </c>
      <c r="C15" s="25" t="n">
        <v>0.0861111111111110894</v>
      </c>
      <c r="D15" t="n">
        <v>73.6877777777777965</v>
      </c>
      <c r="E15" t="n">
        <v>69.8191666666667032</v>
      </c>
      <c r="F15" t="s">
        <v>182</v>
      </c>
      <c r="G15" s="21">
        <f>B15+C15</f>
        <v>43730.0861111111008</v>
      </c>
      <extLst>
        <ext uri="smNativeData">
          <pm:rowDef xmlns:pm="smNativeData" id="1605907435" r="15" hidden="1" collapsedDB="0" collapsedOL="0"/>
        </ext>
      </extLst>
    </row>
    <row r="16" spans="1:8">
      <c r="A16" s="22" t="s">
        <v>121</v>
      </c>
      <c r="B16" s="26" t="n">
        <v>43730</v>
      </c>
      <c r="C16" s="25" t="n">
        <v>0.0868055555555555891</v>
      </c>
      <c r="D16" t="n">
        <v>73.7052777777777948</v>
      </c>
      <c r="E16" t="n">
        <v>69.8700000000000045</v>
      </c>
      <c r="F16" t="s">
        <v>181</v>
      </c>
      <c r="G16" s="21">
        <f>B16+C16</f>
        <v>43730.0868055555984</v>
      </c>
      <c r="H16" s="13">
        <f>AVERAGE(G16:G17)</f>
        <v>43730.2298611111983</v>
      </c>
    </row>
    <row r="17" spans="1:7" hidden="1">
      <c r="A17" s="22"/>
      <c r="B17" s="26" t="n">
        <v>43730</v>
      </c>
      <c r="C17" s="25" t="n">
        <v>0.372916666666667007</v>
      </c>
      <c r="D17" t="n">
        <v>73.8691666666667004</v>
      </c>
      <c r="E17" t="n">
        <v>72.9541666666666941</v>
      </c>
      <c r="F17" t="s">
        <v>182</v>
      </c>
      <c r="G17" s="21">
        <f>B17+C17</f>
        <v>43730.3729166667035</v>
      </c>
      <extLst>
        <ext uri="smNativeData">
          <pm:rowDef xmlns:pm="smNativeData" id="1605907435" r="17" hidden="1" collapsedDB="0" collapsedOL="0"/>
        </ext>
      </extLst>
    </row>
    <row r="18" spans="1:8">
      <c r="A18" s="22" t="s">
        <v>122</v>
      </c>
      <c r="B18" s="26" t="n">
        <v>43730</v>
      </c>
      <c r="C18" s="25" t="n">
        <v>0.375</v>
      </c>
      <c r="D18" t="n">
        <v>73.8719444444443951</v>
      </c>
      <c r="E18" t="n">
        <v>72.9627777777777879</v>
      </c>
      <c r="F18" t="s">
        <v>181</v>
      </c>
      <c r="G18" s="21">
        <f>B18+C18</f>
        <v>43730.375</v>
      </c>
      <c r="H18" s="13">
        <f>AVERAGE(G18:G19)</f>
        <v>43730.606944444502</v>
      </c>
    </row>
    <row r="19" spans="1:7" hidden="1">
      <c r="A19" s="22"/>
      <c r="B19" s="26" t="n">
        <v>43730</v>
      </c>
      <c r="C19" s="25" t="n">
        <v>0.838888888888888928</v>
      </c>
      <c r="D19" t="n">
        <v>73.8344444444444861</v>
      </c>
      <c r="E19" t="n">
        <v>78.8166666666667055</v>
      </c>
      <c r="F19" t="s">
        <v>182</v>
      </c>
      <c r="G19" s="21">
        <f>B19+C19</f>
        <v>43730.8388888889021</v>
      </c>
      <extLst>
        <ext uri="smNativeData">
          <pm:rowDef xmlns:pm="smNativeData" id="1605907435" r="19" hidden="1" collapsedDB="0" collapsedOL="0"/>
        </ext>
      </extLst>
    </row>
    <row r="20" spans="1:8">
      <c r="A20" s="22" t="s">
        <v>123</v>
      </c>
      <c r="B20" s="26" t="n">
        <v>43730</v>
      </c>
      <c r="C20" s="25" t="n">
        <v>0.839583333333333037</v>
      </c>
      <c r="D20" t="n">
        <v>73.9733333333333007</v>
      </c>
      <c r="E20" t="n">
        <v>78.9038888888889005</v>
      </c>
      <c r="F20" t="s">
        <v>181</v>
      </c>
      <c r="G20" s="21">
        <f>B20+C20</f>
        <v>43730.8395833332979</v>
      </c>
      <c r="H20" s="13">
        <f>AVERAGE(G20:G21)</f>
        <v>43731.0916666667035</v>
      </c>
    </row>
    <row r="21" spans="1:7" hidden="1">
      <c r="A21" s="22"/>
      <c r="B21" s="26" t="n">
        <v>43731</v>
      </c>
      <c r="C21" s="25" t="n">
        <v>0.34375</v>
      </c>
      <c r="D21" t="n">
        <v>74.8599999999999994</v>
      </c>
      <c r="E21" t="n">
        <v>84.4765000000000015</v>
      </c>
      <c r="F21" t="s">
        <v>182</v>
      </c>
      <c r="G21" s="21">
        <f>B21+C21</f>
        <v>43731.34375</v>
      </c>
      <extLst>
        <ext uri="smNativeData">
          <pm:rowDef xmlns:pm="smNativeData" id="1605907435" r="21" hidden="1" collapsedDB="0" collapsedOL="0"/>
        </ext>
      </extLst>
    </row>
    <row r="22" spans="1:8">
      <c r="A22" s="27" t="s">
        <v>124</v>
      </c>
      <c r="B22" s="26" t="n">
        <v>43731</v>
      </c>
      <c r="C22" s="25" t="n">
        <v>0.347222222222222054</v>
      </c>
      <c r="D22" t="n">
        <v>74.9683333333333053</v>
      </c>
      <c r="E22" t="n">
        <v>84.7750000000000057</v>
      </c>
      <c r="F22" t="s">
        <v>181</v>
      </c>
      <c r="G22" s="21">
        <f>B22+C22</f>
        <v>43731.3472222221972</v>
      </c>
      <c r="H22" s="13">
        <f>AVERAGE(G22:G23)</f>
        <v>43731.599652777797</v>
      </c>
    </row>
    <row r="23" spans="1:7" hidden="1">
      <c r="A23" s="27"/>
      <c r="B23" s="26" t="n">
        <v>43731</v>
      </c>
      <c r="C23" s="25" t="n">
        <v>0.852083333333333037</v>
      </c>
      <c r="D23" t="n">
        <v>76.2583333333332973</v>
      </c>
      <c r="E23" t="n">
        <v>89.2041666666666941</v>
      </c>
      <c r="F23" t="s">
        <v>182</v>
      </c>
      <c r="G23" s="21">
        <f>B23+C23</f>
        <v>43731.8520833333023</v>
      </c>
      <extLst>
        <ext uri="smNativeData">
          <pm:rowDef xmlns:pm="smNativeData" id="1605907435" r="23" hidden="1" collapsedDB="0" collapsedOL="0"/>
        </ext>
      </extLst>
    </row>
    <row r="24" spans="1:8">
      <c r="A24" s="28" t="s">
        <v>125</v>
      </c>
      <c r="B24" s="26" t="n">
        <v>43731</v>
      </c>
      <c r="C24" s="25" t="n">
        <v>0.853472222222221966</v>
      </c>
      <c r="D24" t="n">
        <v>76.5090000000000003</v>
      </c>
      <c r="E24" t="n">
        <v>89.2099999999999937</v>
      </c>
      <c r="F24" t="s">
        <v>181</v>
      </c>
      <c r="G24" s="21">
        <f>B24+C24</f>
        <v>43731.853472222203</v>
      </c>
      <c r="H24" s="13">
        <f>AVERAGE(G24:G25)</f>
        <v>43732.0944444444976</v>
      </c>
    </row>
    <row r="25" spans="1:7" hidden="1">
      <c r="A25" s="28"/>
      <c r="B25" s="26" t="n">
        <v>43732</v>
      </c>
      <c r="C25" s="25" t="n">
        <v>0.335416666666666918</v>
      </c>
      <c r="D25" t="n">
        <v>77.125666666666703</v>
      </c>
      <c r="E25" t="n">
        <v>95.5883333333332672</v>
      </c>
      <c r="F25" t="s">
        <v>182</v>
      </c>
      <c r="G25" s="21">
        <f>B25+C25</f>
        <v>43732.3354166666977</v>
      </c>
      <extLst>
        <ext uri="smNativeData">
          <pm:rowDef xmlns:pm="smNativeData" id="1605907435" r="25" hidden="1" collapsedDB="0" collapsedOL="0"/>
        </ext>
      </extLst>
    </row>
    <row r="26" spans="1:8">
      <c r="A26" s="28" t="s">
        <v>126</v>
      </c>
      <c r="B26" s="26" t="n">
        <v>43732</v>
      </c>
      <c r="C26" s="25" t="n">
        <v>0.340277777777778079</v>
      </c>
      <c r="D26" t="n">
        <v>77.1364999999999981</v>
      </c>
      <c r="E26" t="n">
        <v>95.6528333333333052</v>
      </c>
      <c r="F26" t="s">
        <v>181</v>
      </c>
      <c r="G26" s="21">
        <f>B26+C26</f>
        <v>43732.3402777778028</v>
      </c>
      <c r="H26" s="13">
        <f>AVERAGE(G26:G27)</f>
        <v>43732.5104166667006</v>
      </c>
    </row>
    <row r="27" spans="1:7" hidden="1">
      <c r="A27" s="28"/>
      <c r="B27" s="26" t="n">
        <v>43732</v>
      </c>
      <c r="C27" s="25" t="n">
        <v>0.680555555555555003</v>
      </c>
      <c r="D27" t="n">
        <v>77.8716666666666839</v>
      </c>
      <c r="E27" t="n">
        <v>101.150199999999998</v>
      </c>
      <c r="F27" t="s">
        <v>182</v>
      </c>
      <c r="G27" s="21">
        <f>B27+C27</f>
        <v>43732.6805555555984</v>
      </c>
      <extLst>
        <ext uri="smNativeData">
          <pm:rowDef xmlns:pm="smNativeData" id="1605907435" r="27" hidden="1" collapsedDB="0" collapsedOL="0"/>
        </ext>
      </extLst>
    </row>
    <row r="28" spans="1:8">
      <c r="A28" s="28" t="s">
        <v>127</v>
      </c>
      <c r="B28" s="26" t="n">
        <v>43732</v>
      </c>
      <c r="C28" s="25" t="n">
        <v>0.68194444444444402</v>
      </c>
      <c r="D28" t="n">
        <v>78</v>
      </c>
      <c r="E28" t="n">
        <v>101.151866666667004</v>
      </c>
      <c r="F28" t="s">
        <v>181</v>
      </c>
      <c r="G28" s="21">
        <f>B28+C28</f>
        <v>43732.6819444443972</v>
      </c>
      <c r="H28" s="13">
        <f>AVERAGE(G28:G29)</f>
        <v>43732.8201388888992</v>
      </c>
    </row>
    <row r="29" spans="1:7" hidden="1">
      <c r="A29" s="28"/>
      <c r="B29" s="26" t="n">
        <v>43732</v>
      </c>
      <c r="C29" s="25" t="n">
        <v>0.958333333333333037</v>
      </c>
      <c r="D29" t="n">
        <v>77.9207999999999998</v>
      </c>
      <c r="E29" t="n">
        <v>103.728133333332991</v>
      </c>
      <c r="F29" t="s">
        <v>182</v>
      </c>
      <c r="G29" s="21">
        <f>B29+C29</f>
        <v>43732.9583333332994</v>
      </c>
      <extLst>
        <ext uri="smNativeData">
          <pm:rowDef xmlns:pm="smNativeData" id="1605907435" r="29" hidden="1" collapsedDB="0" collapsedOL="0"/>
        </ext>
      </extLst>
    </row>
    <row r="30" spans="1:8">
      <c r="A30" s="28" t="s">
        <v>128</v>
      </c>
      <c r="B30" s="26" t="n">
        <v>43732</v>
      </c>
      <c r="C30" s="25" t="n">
        <v>0.963194444444443931</v>
      </c>
      <c r="D30" t="n">
        <v>77.922333333333313</v>
      </c>
      <c r="E30" t="n">
        <v>103.995250000000013</v>
      </c>
      <c r="F30" t="s">
        <v>181</v>
      </c>
      <c r="G30" s="21">
        <f>B30+C30</f>
        <v>43732.9631944443972</v>
      </c>
      <c r="H30" s="13">
        <f>AVERAGE(G30:G31)</f>
        <v>43733.2281250000015</v>
      </c>
    </row>
    <row r="31" spans="1:7" hidden="1">
      <c r="A31" s="28"/>
      <c r="B31" s="26" t="n">
        <v>43733</v>
      </c>
      <c r="C31" s="25" t="n">
        <v>0.493055555555556069</v>
      </c>
      <c r="D31" t="n">
        <v>77.7604999999999933</v>
      </c>
      <c r="E31" t="n">
        <v>109.672666666667013</v>
      </c>
      <c r="F31" t="s">
        <v>182</v>
      </c>
      <c r="G31" s="21">
        <f>B31+C31</f>
        <v>43733.4930555555984</v>
      </c>
      <extLst>
        <ext uri="smNativeData">
          <pm:rowDef xmlns:pm="smNativeData" id="1605907435" r="31" hidden="1" collapsedDB="0" collapsedOL="0"/>
        </ext>
      </extLst>
    </row>
    <row r="32" spans="1:8">
      <c r="A32" s="28" t="s">
        <v>129</v>
      </c>
      <c r="B32" s="26" t="n">
        <v>43733</v>
      </c>
      <c r="C32" s="25" t="n">
        <v>0.5</v>
      </c>
      <c r="D32" t="n">
        <v>77.7801666666667018</v>
      </c>
      <c r="E32" t="n">
        <v>109.681166666667011</v>
      </c>
      <c r="F32" t="s">
        <v>181</v>
      </c>
      <c r="G32" s="21">
        <f>B32+C32</f>
        <v>43733.5</v>
      </c>
      <c r="H32" s="13">
        <f>AVERAGE(G32:G33)</f>
        <v>43733.7295138889021</v>
      </c>
    </row>
    <row r="33" spans="1:7" hidden="1">
      <c r="A33" s="28"/>
      <c r="B33" s="26" t="n">
        <v>43733</v>
      </c>
      <c r="C33" s="25" t="n">
        <v>0.959027777777777857</v>
      </c>
      <c r="D33" t="n">
        <v>77.5161833333333021</v>
      </c>
      <c r="E33" t="n">
        <v>115.557299999999998</v>
      </c>
      <c r="F33" t="s">
        <v>182</v>
      </c>
      <c r="G33" s="21">
        <f>B33+C33</f>
        <v>43733.959027777797</v>
      </c>
      <extLst>
        <ext uri="smNativeData">
          <pm:rowDef xmlns:pm="smNativeData" id="1605907435" r="33" hidden="1" collapsedDB="0" collapsedOL="0"/>
        </ext>
      </extLst>
    </row>
    <row r="34" spans="1:8">
      <c r="A34" s="28" t="s">
        <v>130</v>
      </c>
      <c r="B34" s="26" t="n">
        <v>43733</v>
      </c>
      <c r="C34" s="25" t="n">
        <v>0.965277777777777857</v>
      </c>
      <c r="D34" t="n">
        <v>77.5161833333333021</v>
      </c>
      <c r="E34" t="n">
        <v>115.557299999999998</v>
      </c>
      <c r="F34" t="s">
        <v>181</v>
      </c>
      <c r="G34" s="21">
        <f>B34+C34</f>
        <v>43733.9652777778028</v>
      </c>
      <c r="H34" s="13">
        <f>AVERAGE(G34:G35)</f>
        <v>43734.2055555555999</v>
      </c>
    </row>
    <row r="35" spans="1:7" hidden="1">
      <c r="A35" s="28"/>
      <c r="B35" s="26" t="n">
        <v>43734</v>
      </c>
      <c r="C35" s="25" t="n">
        <v>0.445833333333332948</v>
      </c>
      <c r="D35" t="n">
        <v>77.2112666666667025</v>
      </c>
      <c r="E35" t="n">
        <v>121.722150000000013</v>
      </c>
      <c r="F35" t="s">
        <v>182</v>
      </c>
      <c r="G35" s="21">
        <f>B35+C35</f>
        <v>43734.4458333333023</v>
      </c>
      <extLst>
        <ext uri="smNativeData">
          <pm:rowDef xmlns:pm="smNativeData" id="1605907435" r="35" hidden="1" collapsedDB="0" collapsedOL="0"/>
        </ext>
      </extLst>
    </row>
    <row r="36" spans="1:8">
      <c r="A36" s="28" t="s">
        <v>131</v>
      </c>
      <c r="B36" s="26" t="n">
        <v>43734</v>
      </c>
      <c r="C36" s="25" t="n">
        <v>0.44791666666666714</v>
      </c>
      <c r="D36" t="n">
        <v>77.2113666666667058</v>
      </c>
      <c r="E36" t="n">
        <v>121.72651666666701</v>
      </c>
      <c r="F36" t="s">
        <v>181</v>
      </c>
      <c r="G36" s="21">
        <f>B36+C36</f>
        <v>43734.4479166667006</v>
      </c>
      <c r="H36" s="13">
        <f>AVERAGE(G36:G37)</f>
        <v>43734.6427083333983</v>
      </c>
    </row>
    <row r="37" spans="1:7" hidden="1">
      <c r="A37" s="28"/>
      <c r="B37" s="26" t="n">
        <v>43734</v>
      </c>
      <c r="C37" s="25" t="n">
        <v>0.8375</v>
      </c>
      <c r="D37" t="n">
        <v>76.7615333333333041</v>
      </c>
      <c r="E37" t="n">
        <v>125.816750000000013</v>
      </c>
      <c r="F37" t="s">
        <v>182</v>
      </c>
      <c r="G37" s="21">
        <f>B37+C37</f>
        <v>43734.8375000000015</v>
      </c>
      <extLst>
        <ext uri="smNativeData">
          <pm:rowDef xmlns:pm="smNativeData" id="1605907435" r="37" hidden="1" collapsedDB="0" collapsedOL="0"/>
        </ext>
      </extLst>
    </row>
    <row r="38" spans="1:8">
      <c r="A38" s="28" t="s">
        <v>132</v>
      </c>
      <c r="B38" s="26" t="n">
        <v>43734</v>
      </c>
      <c r="C38" s="25" t="n">
        <v>0.84375</v>
      </c>
      <c r="D38" t="n">
        <v>76.7769166666666933</v>
      </c>
      <c r="E38" t="n">
        <v>125.850283333332996</v>
      </c>
      <c r="F38" t="s">
        <v>181</v>
      </c>
      <c r="G38" s="21">
        <f>B38+C38</f>
        <v>43734.84375</v>
      </c>
      <c r="H38" s="13">
        <f>AVERAGE(G38:G39)</f>
        <v>43735.0927083334027</v>
      </c>
    </row>
    <row r="39" spans="1:7" hidden="1">
      <c r="A39" s="28"/>
      <c r="B39" s="26" t="n">
        <v>43735</v>
      </c>
      <c r="C39" s="25" t="n">
        <v>0.341666666666667007</v>
      </c>
      <c r="D39" t="n">
        <v>76.906366666666699</v>
      </c>
      <c r="E39" t="n">
        <v>132.352900000000005</v>
      </c>
      <c r="F39" t="s">
        <v>182</v>
      </c>
      <c r="G39" s="21">
        <f>B39+C39</f>
        <v>43735.3416666667035</v>
      </c>
      <extLst>
        <ext uri="smNativeData">
          <pm:rowDef xmlns:pm="smNativeData" id="1605907435" r="39" hidden="1" collapsedDB="0" collapsedOL="0"/>
        </ext>
      </extLst>
    </row>
    <row r="40" spans="1:8">
      <c r="A40" s="28" t="s">
        <v>133</v>
      </c>
      <c r="B40" s="26" t="n">
        <v>43735</v>
      </c>
      <c r="C40" s="25" t="n">
        <v>0.342361111111110938</v>
      </c>
      <c r="D40" t="n">
        <v>76.9064999999999941</v>
      </c>
      <c r="E40" t="n">
        <v>132.375233333333</v>
      </c>
      <c r="F40" t="s">
        <v>181</v>
      </c>
      <c r="G40" s="21">
        <f>B40+C40</f>
        <v>43735.3423611110993</v>
      </c>
      <c r="H40" s="13">
        <f>AVERAGE(G40:G41)</f>
        <v>43735.5899305556013</v>
      </c>
    </row>
    <row r="41" spans="1:7" hidden="1">
      <c r="A41" s="28"/>
      <c r="B41" s="26" t="n">
        <v>43735</v>
      </c>
      <c r="C41" s="25" t="n">
        <v>0.8375</v>
      </c>
      <c r="D41" t="n">
        <v>76.8228166666666823</v>
      </c>
      <c r="E41" t="n">
        <v>140.582899999999995</v>
      </c>
      <c r="F41" t="s">
        <v>182</v>
      </c>
      <c r="G41" s="21">
        <f>B41+C41</f>
        <v>43735.8375000000015</v>
      </c>
      <extLst>
        <ext uri="smNativeData">
          <pm:rowDef xmlns:pm="smNativeData" id="1605907435" r="41" hidden="1" collapsedDB="0" collapsedOL="0"/>
        </ext>
      </extLst>
    </row>
    <row r="42" spans="1:8">
      <c r="A42" s="28" t="s">
        <v>134</v>
      </c>
      <c r="B42" s="26" t="n">
        <v>43735</v>
      </c>
      <c r="C42" s="25" t="n">
        <v>0.840277777777777857</v>
      </c>
      <c r="D42" t="n">
        <v>76.8229666666667015</v>
      </c>
      <c r="E42" t="n">
        <v>140.58553333333299</v>
      </c>
      <c r="F42" t="s">
        <v>181</v>
      </c>
      <c r="G42" s="21">
        <f>B42+C42</f>
        <v>43735.8402777778028</v>
      </c>
      <c r="H42" s="13">
        <f>AVERAGE(G42:G43)</f>
        <v>43736.0909722223005</v>
      </c>
    </row>
    <row r="43" spans="1:7" hidden="1">
      <c r="A43" s="28"/>
      <c r="B43" s="26" t="n">
        <v>43736</v>
      </c>
      <c r="C43" s="25" t="n">
        <v>0.341666666666667007</v>
      </c>
      <c r="D43" t="n">
        <v>76.6014833333333058</v>
      </c>
      <c r="E43" t="n">
        <v>148.44380000000001</v>
      </c>
      <c r="F43" t="s">
        <v>182</v>
      </c>
      <c r="G43" s="21">
        <f>B43+C43</f>
        <v>43736.3416666667035</v>
      </c>
      <extLst>
        <ext uri="smNativeData">
          <pm:rowDef xmlns:pm="smNativeData" id="1605907435" r="43" hidden="1" collapsedDB="0" collapsedOL="0"/>
        </ext>
      </extLst>
    </row>
    <row r="44" spans="1:8">
      <c r="A44" s="28" t="s">
        <v>135</v>
      </c>
      <c r="B44" s="26" t="n">
        <v>43736</v>
      </c>
      <c r="C44" s="25" t="n">
        <v>0.347222222222222054</v>
      </c>
      <c r="D44" t="n">
        <v>76.6085666666667038</v>
      </c>
      <c r="E44" t="n">
        <v>148.458550000000002</v>
      </c>
      <c r="F44" t="s">
        <v>181</v>
      </c>
      <c r="G44" s="21">
        <f>B44+C44</f>
        <v>43736.3472222221972</v>
      </c>
      <c r="H44" s="13">
        <f>AVERAGE(G44:G45)</f>
        <v>43736.5190972221972</v>
      </c>
    </row>
    <row r="45" spans="1:7" hidden="1">
      <c r="A45" s="28"/>
      <c r="B45" s="26" t="n">
        <v>43736</v>
      </c>
      <c r="C45" s="25" t="n">
        <v>0.690972222222221966</v>
      </c>
      <c r="D45" t="n">
        <v>76.7587000000000046</v>
      </c>
      <c r="E45" t="n">
        <v>148.882650000000012</v>
      </c>
      <c r="F45" t="s">
        <v>182</v>
      </c>
      <c r="G45" s="21">
        <f>B45+C45</f>
        <v>43736.6909722221972</v>
      </c>
      <extLst>
        <ext uri="smNativeData">
          <pm:rowDef xmlns:pm="smNativeData" id="1605907435" r="45" hidden="1" collapsedDB="0" collapsedOL="0"/>
        </ext>
      </extLst>
    </row>
    <row r="46" spans="1:8">
      <c r="A46" s="28" t="s">
        <v>136</v>
      </c>
      <c r="B46" s="26" t="n">
        <v>43736</v>
      </c>
      <c r="C46" s="25" t="n">
        <v>0.691666666666666963</v>
      </c>
      <c r="D46" t="n">
        <v>76.7635833333333011</v>
      </c>
      <c r="E46" t="n">
        <v>148.882833333332997</v>
      </c>
      <c r="F46" t="s">
        <v>181</v>
      </c>
      <c r="G46" s="21">
        <f>B46+C46</f>
        <v>43736.6916666667021</v>
      </c>
      <c r="H46" s="13">
        <f>AVERAGE(G46:G47)</f>
        <v>43736.8836805555984</v>
      </c>
    </row>
    <row r="47" spans="1:7" hidden="1">
      <c r="A47" s="28"/>
      <c r="B47" s="26" t="n">
        <v>43737</v>
      </c>
      <c r="C47" s="25" t="n">
        <v>0.0756944444444443842</v>
      </c>
      <c r="D47" t="n">
        <v>76.5956000000000046</v>
      </c>
      <c r="E47" t="n">
        <v>149.06518333333301</v>
      </c>
      <c r="F47" t="s">
        <v>182</v>
      </c>
      <c r="G47" s="21">
        <f>B47+C47</f>
        <v>43737.075694444502</v>
      </c>
      <extLst>
        <ext uri="smNativeData">
          <pm:rowDef xmlns:pm="smNativeData" id="1605907435" r="47" hidden="1" collapsedDB="0" collapsedOL="0"/>
        </ext>
      </extLst>
    </row>
    <row r="48" spans="1:8">
      <c r="A48" s="28" t="s">
        <v>137</v>
      </c>
      <c r="B48" s="26" t="n">
        <v>43737</v>
      </c>
      <c r="C48" s="25" t="n">
        <v>0.0791666666666667052</v>
      </c>
      <c r="D48" t="n">
        <v>76.6085666666667038</v>
      </c>
      <c r="E48" t="n">
        <v>149.23083333333301</v>
      </c>
      <c r="F48" t="s">
        <v>181</v>
      </c>
      <c r="G48" s="21">
        <f>B48+C48</f>
        <v>43737.0791666666992</v>
      </c>
      <c r="H48" s="13">
        <f>AVERAGE(G48:G49)</f>
        <v>43737.2895833333969</v>
      </c>
    </row>
    <row r="49" spans="1:7" hidden="1">
      <c r="A49" s="28"/>
      <c r="B49" s="26" t="n">
        <v>43737</v>
      </c>
      <c r="C49" s="25" t="n">
        <v>0.5</v>
      </c>
      <c r="D49" t="n">
        <v>76.3023666666666998</v>
      </c>
      <c r="E49" t="n">
        <v>154.063299999999998</v>
      </c>
      <c r="F49" t="s">
        <v>182</v>
      </c>
      <c r="G49" s="21">
        <f>B49+C49</f>
        <v>43737.5</v>
      </c>
      <extLst>
        <ext uri="smNativeData">
          <pm:rowDef xmlns:pm="smNativeData" id="1605907435" r="49" hidden="1" collapsedDB="0" collapsedOL="0"/>
        </ext>
      </extLst>
    </row>
    <row r="50" spans="1:8">
      <c r="A50" s="28" t="s">
        <v>138</v>
      </c>
      <c r="B50" s="26" t="n">
        <v>43737</v>
      </c>
      <c r="C50" s="25" t="n">
        <v>0.504861111111110983</v>
      </c>
      <c r="D50" t="n">
        <v>76.3018166666666815</v>
      </c>
      <c r="E50" t="n">
        <v>154.066499999999991</v>
      </c>
      <c r="F50" t="s">
        <v>181</v>
      </c>
      <c r="G50" s="21">
        <f>B50+C50</f>
        <v>43737.5048611110979</v>
      </c>
      <c r="H50" s="13">
        <f>AVERAGE(G50:G51)</f>
        <v>43737.7517361111022</v>
      </c>
    </row>
    <row r="51" spans="1:7" hidden="1">
      <c r="A51" s="28"/>
      <c r="B51" s="26" t="n">
        <v>43737</v>
      </c>
      <c r="C51" s="25" t="n">
        <v>0.998611111111111072</v>
      </c>
      <c r="D51" t="n">
        <v>75.4435833333332937</v>
      </c>
      <c r="E51" t="n">
        <v>158.991166666666999</v>
      </c>
      <c r="F51" t="s">
        <v>182</v>
      </c>
      <c r="G51" s="21">
        <f>B51+C51</f>
        <v>43737.9986111110993</v>
      </c>
      <extLst>
        <ext uri="smNativeData">
          <pm:rowDef xmlns:pm="smNativeData" id="1605907435" r="51" hidden="1" collapsedDB="0" collapsedOL="0"/>
        </ext>
      </extLst>
    </row>
    <row r="52" spans="1:8">
      <c r="A52" s="28" t="s">
        <v>139</v>
      </c>
      <c r="B52" s="26" t="n">
        <v>43738</v>
      </c>
      <c r="C52" s="25" t="n">
        <v>0.000694444444444444109</v>
      </c>
      <c r="D52" t="n">
        <v>75.4925999999999817</v>
      </c>
      <c r="E52" t="n">
        <v>158.999500000000012</v>
      </c>
      <c r="F52" t="s">
        <v>181</v>
      </c>
      <c r="G52" s="21">
        <f>B52+C52</f>
        <v>43738.0006944444976</v>
      </c>
      <c r="H52" s="13">
        <f>AVERAGE(G52:G53)</f>
        <v>43738.193402777797</v>
      </c>
    </row>
    <row r="53" spans="1:7" hidden="1">
      <c r="A53" s="28"/>
      <c r="B53" s="26" t="n">
        <v>43738</v>
      </c>
      <c r="C53" s="25" t="n">
        <v>0.386111111111111036</v>
      </c>
      <c r="D53" t="n">
        <v>74.9521333333332933</v>
      </c>
      <c r="E53" t="n">
        <v>160.595566666666997</v>
      </c>
      <c r="F53" t="s">
        <v>182</v>
      </c>
      <c r="G53" s="21">
        <f>B53+C53</f>
        <v>43738.3861111110964</v>
      </c>
      <extLst>
        <ext uri="smNativeData">
          <pm:rowDef xmlns:pm="smNativeData" id="1605907435" r="53" hidden="1" collapsedDB="0" collapsedOL="0"/>
        </ext>
      </extLst>
    </row>
    <row r="54" spans="1:8">
      <c r="A54" s="28" t="s">
        <v>140</v>
      </c>
      <c r="B54" s="26" t="n">
        <v>43738</v>
      </c>
      <c r="C54" s="25" t="n">
        <v>0.3875</v>
      </c>
      <c r="D54" t="n">
        <v>74.9752500000000026</v>
      </c>
      <c r="E54" t="n">
        <v>160.608583333333002</v>
      </c>
      <c r="F54" t="s">
        <v>181</v>
      </c>
      <c r="G54" s="21">
        <f>B54+C54</f>
        <v>43738.3874999999971</v>
      </c>
      <c r="H54" s="13">
        <f>AVERAGE(G54:G55)</f>
        <v>43738.6569444444976</v>
      </c>
    </row>
    <row r="55" spans="1:7" hidden="1">
      <c r="A55" s="28"/>
      <c r="B55" s="26" t="n">
        <v>43738</v>
      </c>
      <c r="C55" s="25" t="n">
        <v>0.926388888888889284</v>
      </c>
      <c r="D55" t="n">
        <v>74.9078833333333023</v>
      </c>
      <c r="E55" t="n">
        <v>160.879116666666988</v>
      </c>
      <c r="F55" t="s">
        <v>182</v>
      </c>
      <c r="G55" s="21">
        <f>B55+C55</f>
        <v>43738.9263888889036</v>
      </c>
      <extLst>
        <ext uri="smNativeData">
          <pm:rowDef xmlns:pm="smNativeData" id="1605907435" r="55" hidden="1" collapsedDB="0" collapsedOL="0"/>
        </ext>
      </extLst>
    </row>
    <row r="56" spans="1:8">
      <c r="A56" s="28" t="s">
        <v>141</v>
      </c>
      <c r="B56" s="26" t="n">
        <v>43738</v>
      </c>
      <c r="C56" s="25" t="n">
        <v>0.928472222222221966</v>
      </c>
      <c r="D56" t="n">
        <v>74.9253166666667028</v>
      </c>
      <c r="E56" t="n">
        <v>165.469166666667007</v>
      </c>
      <c r="F56" t="s">
        <v>181</v>
      </c>
      <c r="G56" s="21">
        <f>B56+C56</f>
        <v>43738.9284722222001</v>
      </c>
      <c r="H56" s="13">
        <f>AVERAGE(G56:G57)</f>
        <v>43739.1413194444976</v>
      </c>
    </row>
    <row r="57" spans="1:7" hidden="1">
      <c r="A57" s="28"/>
      <c r="B57" s="26" t="n">
        <v>43739</v>
      </c>
      <c r="C57" s="25" t="n">
        <v>0.354166666666667007</v>
      </c>
      <c r="D57" t="n">
        <v>74.9178500000000014</v>
      </c>
      <c r="E57" t="n">
        <v>160.856983333333005</v>
      </c>
      <c r="F57" t="s">
        <v>182</v>
      </c>
      <c r="G57" s="21">
        <f>B57+C57</f>
        <v>43739.3541666667006</v>
      </c>
      <extLst>
        <ext uri="smNativeData">
          <pm:rowDef xmlns:pm="smNativeData" id="1605907435" r="57" hidden="1" collapsedDB="0" collapsedOL="0"/>
        </ext>
      </extLst>
    </row>
    <row r="58" spans="1:8">
      <c r="A58" s="28" t="s">
        <v>142</v>
      </c>
      <c r="B58" s="26" t="n">
        <v>43739</v>
      </c>
      <c r="C58" s="25" t="n">
        <v>0.354861111111111027</v>
      </c>
      <c r="D58" t="n">
        <v>74.9178500000000014</v>
      </c>
      <c r="E58" t="n">
        <v>160.856983333333005</v>
      </c>
      <c r="F58" t="s">
        <v>181</v>
      </c>
      <c r="G58" s="21">
        <f>B58+C58</f>
        <v>43739.3548611110964</v>
      </c>
      <c r="H58" s="13">
        <f>AVERAGE(G58:G59)</f>
        <v>43739.6378472221986</v>
      </c>
    </row>
    <row r="59" spans="1:7" hidden="1">
      <c r="A59" s="28"/>
      <c r="B59" s="26" t="n">
        <v>43739</v>
      </c>
      <c r="C59" s="25" t="n">
        <v>0.92083333333333286</v>
      </c>
      <c r="D59" t="n">
        <v>74.9202499999999816</v>
      </c>
      <c r="E59" t="n">
        <v>160.856950000000012</v>
      </c>
      <c r="F59" t="s">
        <v>182</v>
      </c>
      <c r="G59" s="21">
        <f>B59+C59</f>
        <v>43739.9208333333008</v>
      </c>
      <extLst>
        <ext uri="smNativeData">
          <pm:rowDef xmlns:pm="smNativeData" id="1605907435" r="59" hidden="1" collapsedDB="0" collapsedOL="0"/>
        </ext>
      </extLst>
    </row>
    <row r="60" spans="1:8">
      <c r="A60" s="28" t="s">
        <v>143</v>
      </c>
      <c r="B60" s="11" t="n">
        <v>43739</v>
      </c>
      <c r="C60" s="12" t="n">
        <v>0.927083333333333037</v>
      </c>
      <c r="D60" t="n">
        <v>74.9202499999999816</v>
      </c>
      <c r="E60" t="n">
        <v>160.856950000000012</v>
      </c>
      <c r="F60" t="s">
        <v>181</v>
      </c>
      <c r="G60" s="21">
        <f>B60+C60</f>
        <v>43739.9270833332994</v>
      </c>
      <c r="H60" s="13">
        <f>AVERAGE(G60:G61)</f>
        <v>43740.1989583332979</v>
      </c>
    </row>
    <row r="61" spans="1:7" hidden="1">
      <c r="A61" s="28"/>
      <c r="B61" s="26" t="n">
        <v>43740</v>
      </c>
      <c r="C61" s="25" t="n">
        <v>0.470833333333333037</v>
      </c>
      <c r="D61" t="n">
        <v>74.9243833333332958</v>
      </c>
      <c r="E61" t="n">
        <v>160.893116666666998</v>
      </c>
      <c r="F61" t="s">
        <v>182</v>
      </c>
      <c r="G61" s="21">
        <f>B61+C61</f>
        <v>43740.4708333332965</v>
      </c>
      <extLst>
        <ext uri="smNativeData">
          <pm:rowDef xmlns:pm="smNativeData" id="1605907435" r="61" hidden="1" collapsedDB="0" collapsedOL="0"/>
        </ext>
      </extLst>
    </row>
    <row r="62" spans="1:8">
      <c r="A62" s="28" t="s">
        <v>144</v>
      </c>
      <c r="B62" s="26" t="n">
        <v>43740</v>
      </c>
      <c r="C62" s="25" t="n">
        <v>0.472222222222222054</v>
      </c>
      <c r="D62" t="n">
        <v>74.9254499999999837</v>
      </c>
      <c r="E62" t="n">
        <v>160.893116666666998</v>
      </c>
      <c r="F62" t="s">
        <v>181</v>
      </c>
      <c r="G62" s="21">
        <f>B62+C62</f>
        <v>43740.4722222221972</v>
      </c>
      <c r="H62" s="13">
        <f>AVERAGE(G62:G63)</f>
        <v>43740.7170138888978</v>
      </c>
    </row>
    <row r="63" spans="1:7" hidden="1">
      <c r="A63" s="28"/>
      <c r="B63" s="26" t="n">
        <v>43740</v>
      </c>
      <c r="C63" s="25" t="n">
        <v>0.961805555555555891</v>
      </c>
      <c r="D63" t="n">
        <v>74.8984833333333029</v>
      </c>
      <c r="E63" t="n">
        <v>160.996749999999992</v>
      </c>
      <c r="F63" t="s">
        <v>182</v>
      </c>
      <c r="G63" s="21">
        <f>B63+C63</f>
        <v>43740.9618055555984</v>
      </c>
      <extLst>
        <ext uri="smNativeData">
          <pm:rowDef xmlns:pm="smNativeData" id="1605907435" r="63" hidden="1" collapsedDB="0" collapsedOL="0"/>
        </ext>
      </extLst>
    </row>
    <row r="64" spans="1:8">
      <c r="A64" s="28" t="s">
        <v>145</v>
      </c>
      <c r="B64" s="26" t="n">
        <v>43740</v>
      </c>
      <c r="C64" s="25" t="n">
        <v>0.96875</v>
      </c>
      <c r="D64" t="n">
        <v>74.8981500000000011</v>
      </c>
      <c r="E64" t="n">
        <v>160.995149999999995</v>
      </c>
      <c r="F64" t="s">
        <v>181</v>
      </c>
      <c r="G64" s="21">
        <f>B64+C64</f>
        <v>43740.96875</v>
      </c>
      <c r="H64" s="13">
        <f>AVERAGE(G64:G65)</f>
        <v>43741.1576388889007</v>
      </c>
    </row>
    <row r="65" spans="1:7" hidden="1">
      <c r="A65" s="28"/>
      <c r="B65" s="26" t="n">
        <v>43741</v>
      </c>
      <c r="C65" s="25" t="n">
        <v>0.34652777777777799</v>
      </c>
      <c r="D65" t="n">
        <v>74.9377333333333127</v>
      </c>
      <c r="E65" t="n">
        <v>160.526633333332995</v>
      </c>
      <c r="F65" t="s">
        <v>182</v>
      </c>
      <c r="G65" s="21">
        <f>B65+C65</f>
        <v>43741.3465277778014</v>
      </c>
      <extLst>
        <ext uri="smNativeData">
          <pm:rowDef xmlns:pm="smNativeData" id="1605907435" r="65" hidden="1" collapsedDB="0" collapsedOL="0"/>
        </ext>
      </extLst>
    </row>
    <row r="66" spans="1:8">
      <c r="A66" s="28" t="s">
        <v>146</v>
      </c>
      <c r="B66" s="26" t="n">
        <v>43741</v>
      </c>
      <c r="C66" s="25" t="n">
        <v>0.347222222222222054</v>
      </c>
      <c r="D66" t="n">
        <v>74.937616666666699</v>
      </c>
      <c r="E66" t="n">
        <v>160.531800000000004</v>
      </c>
      <c r="F66" t="s">
        <v>181</v>
      </c>
      <c r="G66" s="21">
        <f>B66+C66</f>
        <v>43741.3472222221972</v>
      </c>
      <c r="H66" s="13">
        <f>AVERAGE(G66:G67)</f>
        <v>43741.6770833334012</v>
      </c>
    </row>
    <row r="67" spans="1:7" hidden="1">
      <c r="A67" s="28"/>
      <c r="B67" s="26" t="n">
        <v>43742</v>
      </c>
      <c r="C67" s="25" t="n">
        <v>0.00694444444444443931</v>
      </c>
      <c r="D67" t="n">
        <v>73.8621166666666937</v>
      </c>
      <c r="E67" t="n">
        <v>153.612300000000005</v>
      </c>
      <c r="F67" t="s">
        <v>182</v>
      </c>
      <c r="G67" s="21">
        <f>B67+C67</f>
        <v>43742.0069444445035</v>
      </c>
      <extLst>
        <ext uri="smNativeData">
          <pm:rowDef xmlns:pm="smNativeData" id="1605907435" r="67" hidden="1" collapsedDB="0" collapsedOL="0"/>
        </ext>
      </extLst>
    </row>
    <row r="68" spans="1:8">
      <c r="A68" s="28" t="s">
        <v>147</v>
      </c>
      <c r="B68" s="26" t="n">
        <v>43742</v>
      </c>
      <c r="C68" s="25" t="n">
        <v>0.00972222222222222143</v>
      </c>
      <c r="D68" t="n">
        <v>73.8585666666667038</v>
      </c>
      <c r="E68" t="n">
        <v>153.588400000000007</v>
      </c>
      <c r="F68" t="s">
        <v>181</v>
      </c>
      <c r="G68" s="21">
        <f>B68+C68</f>
        <v>43742.009722222203</v>
      </c>
      <c r="H68" s="13">
        <f>AVERAGE(G68:G69)</f>
        <v>43742.1937499999985</v>
      </c>
    </row>
    <row r="69" spans="1:7" hidden="1">
      <c r="A69" s="28"/>
      <c r="B69" s="26" t="n">
        <v>43742</v>
      </c>
      <c r="C69" s="25" t="n">
        <v>0.37777777777777799</v>
      </c>
      <c r="D69" t="n">
        <v>73.2018166666667014</v>
      </c>
      <c r="E69" t="n">
        <v>149.069449999999961</v>
      </c>
      <c r="F69" t="s">
        <v>182</v>
      </c>
      <c r="G69" s="21">
        <f>B69+C69</f>
        <v>43742.3777777778014</v>
      </c>
      <extLst>
        <ext uri="smNativeData">
          <pm:rowDef xmlns:pm="smNativeData" id="1605907435" r="69" hidden="1" collapsedDB="0" collapsedOL="0"/>
        </ext>
      </extLst>
    </row>
    <row r="70" spans="1:8">
      <c r="A70" s="28" t="s">
        <v>148</v>
      </c>
      <c r="B70" s="26" t="n">
        <v>43742</v>
      </c>
      <c r="C70" s="25" t="n">
        <v>0.38194444444444402</v>
      </c>
      <c r="D70" t="n">
        <v>73.2013333333332952</v>
      </c>
      <c r="E70" t="n">
        <v>149.066000000000003</v>
      </c>
      <c r="F70" t="s">
        <v>181</v>
      </c>
      <c r="G70" s="21">
        <f>B70+C70</f>
        <v>43742.3819444445035</v>
      </c>
      <c r="H70" s="13">
        <f>AVERAGE(G70:G71)</f>
        <v>43742.5309027777985</v>
      </c>
    </row>
    <row r="71" spans="1:7" hidden="1">
      <c r="A71" s="28"/>
      <c r="B71" s="26" t="n">
        <v>43742</v>
      </c>
      <c r="C71" s="25" t="n">
        <v>0.67986111111111116</v>
      </c>
      <c r="D71" t="n">
        <v>73.0335833333332971</v>
      </c>
      <c r="E71" t="n">
        <v>145.29028333333298</v>
      </c>
      <c r="F71" t="s">
        <v>182</v>
      </c>
      <c r="G71" s="21">
        <f>B71+C71</f>
        <v>43742.6798611111008</v>
      </c>
      <extLst>
        <ext uri="smNativeData">
          <pm:rowDef xmlns:pm="smNativeData" id="1605907435" r="71" hidden="1" collapsedDB="0" collapsedOL="0"/>
        </ext>
      </extLst>
    </row>
    <row r="72" spans="1:8">
      <c r="A72" s="28" t="s">
        <v>149</v>
      </c>
      <c r="B72" s="11" t="n">
        <v>43742</v>
      </c>
      <c r="C72" s="12" t="n">
        <v>0.68194444444444402</v>
      </c>
      <c r="D72" t="n">
        <v>73.0335833333332971</v>
      </c>
      <c r="E72" t="n">
        <v>145.29028333333298</v>
      </c>
      <c r="F72" t="s">
        <v>181</v>
      </c>
      <c r="G72" s="21">
        <f>B72+C72</f>
        <v>43742.6819444443972</v>
      </c>
      <c r="H72" s="13">
        <f>AVERAGE(G72:G73)</f>
        <v>43743.0256944443972</v>
      </c>
    </row>
    <row r="73" spans="1:7" hidden="1">
      <c r="A73" s="28"/>
      <c r="B73" s="26" t="n">
        <v>43743</v>
      </c>
      <c r="C73" s="25" t="n">
        <v>0.36944444444444402</v>
      </c>
      <c r="D73" t="n">
        <v>72.9064333333332968</v>
      </c>
      <c r="E73" t="n">
        <v>140.618449999999996</v>
      </c>
      <c r="F73" t="s">
        <v>182</v>
      </c>
      <c r="G73" s="21">
        <f>B73+C73</f>
        <v>43743.3694444443972</v>
      </c>
      <extLst>
        <ext uri="smNativeData">
          <pm:rowDef xmlns:pm="smNativeData" id="1605907435" r="73" hidden="1" collapsedDB="0" collapsedOL="0"/>
        </ext>
      </extLst>
    </row>
    <row r="74" spans="1:8">
      <c r="A74" s="28" t="s">
        <v>150</v>
      </c>
      <c r="B74" s="26" t="n">
        <v>43743</v>
      </c>
      <c r="C74" s="25" t="n">
        <v>0.375</v>
      </c>
      <c r="D74" t="n">
        <v>72.9092833333333061</v>
      </c>
      <c r="E74" t="n">
        <v>140.618750000000006</v>
      </c>
      <c r="F74" t="s">
        <v>181</v>
      </c>
      <c r="G74" s="21">
        <f>B74+C74</f>
        <v>43743.375</v>
      </c>
      <c r="H74" s="13">
        <f>AVERAGE(G74:G75)</f>
        <v>43743.5055555556028</v>
      </c>
    </row>
    <row r="75" spans="1:7" hidden="1">
      <c r="A75" s="28"/>
      <c r="B75" s="26" t="n">
        <v>43743</v>
      </c>
      <c r="C75" s="25" t="n">
        <v>0.636111111111110983</v>
      </c>
      <c r="D75" t="n">
        <v>73.0329166666666936</v>
      </c>
      <c r="E75" t="n">
        <v>139.478116666667006</v>
      </c>
      <c r="F75" t="s">
        <v>182</v>
      </c>
      <c r="G75" s="21">
        <f>B75+C75</f>
        <v>43743.6361111110964</v>
      </c>
      <extLst>
        <ext uri="smNativeData">
          <pm:rowDef xmlns:pm="smNativeData" id="1605907435" r="75" hidden="1" collapsedDB="0" collapsedOL="0"/>
        </ext>
      </extLst>
    </row>
    <row r="76" spans="1:8">
      <c r="A76" s="28" t="s">
        <v>151</v>
      </c>
      <c r="B76" s="26" t="n">
        <v>43743</v>
      </c>
      <c r="C76" s="25" t="n">
        <v>0.639583333333332948</v>
      </c>
      <c r="D76" t="n">
        <v>73.0276999999999816</v>
      </c>
      <c r="E76" t="n">
        <v>139.437600000000003</v>
      </c>
      <c r="F76" t="s">
        <v>181</v>
      </c>
      <c r="G76" s="21">
        <f>B76+C76</f>
        <v>43743.6395833333008</v>
      </c>
      <c r="H76" s="13">
        <f>AVERAGE(G76:G77)</f>
        <v>43744.0270833332979</v>
      </c>
    </row>
    <row r="77" spans="1:7" hidden="1">
      <c r="A77" s="28"/>
      <c r="B77" s="26" t="n">
        <v>43744</v>
      </c>
      <c r="C77" s="25" t="n">
        <v>0.414583333333332948</v>
      </c>
      <c r="D77" t="n">
        <v>73.1281000000000034</v>
      </c>
      <c r="E77" t="n">
        <v>130.536149999999992</v>
      </c>
      <c r="F77" t="s">
        <v>182</v>
      </c>
      <c r="G77" s="21">
        <f>B77+C77</f>
        <v>43744.4145833333023</v>
      </c>
      <extLst>
        <ext uri="smNativeData">
          <pm:rowDef xmlns:pm="smNativeData" id="1605907435" r="77" hidden="1" collapsedDB="0" collapsedOL="0"/>
        </ext>
      </extLst>
    </row>
    <row r="78" spans="1:8">
      <c r="A78" s="28" t="s">
        <v>152</v>
      </c>
      <c r="B78" s="26" t="n">
        <v>43744</v>
      </c>
      <c r="C78" s="25" t="n">
        <v>0.41666666666666714</v>
      </c>
      <c r="D78" t="n">
        <v>73.1282666666667041</v>
      </c>
      <c r="E78" t="n">
        <v>130.535433333333003</v>
      </c>
      <c r="F78" t="s">
        <v>181</v>
      </c>
      <c r="G78" s="21">
        <f>B78+C78</f>
        <v>43744.4166666667006</v>
      </c>
      <c r="H78" s="13">
        <f>AVERAGE(G78:G79)</f>
        <v>43745.2062500000029</v>
      </c>
    </row>
    <row r="79" spans="1:7" hidden="1">
      <c r="A79" s="28"/>
      <c r="B79" s="26" t="n">
        <v>43745</v>
      </c>
      <c r="C79" s="25" t="n">
        <v>0.995833333333333037</v>
      </c>
      <c r="D79" t="n">
        <v>73.0969999999999942</v>
      </c>
      <c r="E79" t="n">
        <v>130.273633333333009</v>
      </c>
      <c r="F79" t="s">
        <v>182</v>
      </c>
      <c r="G79" s="21">
        <f>B79+C79</f>
        <v>43745.9958333332979</v>
      </c>
      <extLst>
        <ext uri="smNativeData">
          <pm:rowDef xmlns:pm="smNativeData" id="1605907435" r="79" hidden="1" collapsedDB="0" collapsedOL="0"/>
        </ext>
      </extLst>
    </row>
    <row r="80" spans="1:8">
      <c r="A80" s="28" t="s">
        <v>153</v>
      </c>
      <c r="B80" s="26" t="n">
        <v>43745</v>
      </c>
      <c r="C80" s="25" t="n">
        <v>0.000694444444444444109</v>
      </c>
      <c r="D80" t="n">
        <v>73.1007833333332968</v>
      </c>
      <c r="E80" t="n">
        <v>130.296050000000008</v>
      </c>
      <c r="F80" t="s">
        <v>181</v>
      </c>
      <c r="G80" s="21">
        <f>B80+C80</f>
        <v>43745.0006944444976</v>
      </c>
      <c r="H80" s="13">
        <f>AVERAGE(G80:G81)</f>
        <v>43745.1861111112012</v>
      </c>
    </row>
    <row r="81" spans="1:7" hidden="1">
      <c r="A81" s="28"/>
      <c r="B81" s="26" t="n">
        <v>43745</v>
      </c>
      <c r="C81" s="25" t="n">
        <v>0.371527777777777946</v>
      </c>
      <c r="D81" t="n">
        <v>73.5942333333332925</v>
      </c>
      <c r="E81" t="n">
        <v>130.240483333333003</v>
      </c>
      <c r="F81" t="s">
        <v>182</v>
      </c>
      <c r="G81" s="21">
        <f>B81+C81</f>
        <v>43745.3715277778028</v>
      </c>
      <extLst>
        <ext uri="smNativeData">
          <pm:rowDef xmlns:pm="smNativeData" id="1605907435" r="81" hidden="1" collapsedDB="0" collapsedOL="0"/>
        </ext>
      </extLst>
    </row>
    <row r="82" spans="1:8">
      <c r="A82" s="28" t="s">
        <v>154</v>
      </c>
      <c r="B82" s="26" t="n">
        <v>43745</v>
      </c>
      <c r="C82" s="25" t="n">
        <v>0.378472222222222054</v>
      </c>
      <c r="D82" t="n">
        <v>73.5930333333332953</v>
      </c>
      <c r="E82" t="n">
        <v>130.225349999999992</v>
      </c>
      <c r="F82" t="s">
        <v>181</v>
      </c>
      <c r="G82" s="21">
        <f>B82+C82</f>
        <v>43745.3784722221972</v>
      </c>
      <c r="H82" s="13">
        <f>AVERAGE(G82:G83)</f>
        <v>43745.662152777797</v>
      </c>
    </row>
    <row r="83" spans="1:7" hidden="1">
      <c r="A83" s="28"/>
      <c r="B83" s="26" t="n">
        <v>43745</v>
      </c>
      <c r="C83" s="25" t="n">
        <v>0.945833333333333037</v>
      </c>
      <c r="D83" t="n">
        <v>74.9205500000000058</v>
      </c>
      <c r="E83" t="n">
        <v>128.783899999999988</v>
      </c>
      <c r="F83" t="s">
        <v>182</v>
      </c>
      <c r="G83" s="21">
        <f>B83+C83</f>
        <v>43745.9458333333023</v>
      </c>
      <extLst>
        <ext uri="smNativeData">
          <pm:rowDef xmlns:pm="smNativeData" id="1605907435" r="83" hidden="1" collapsedDB="0" collapsedOL="0"/>
        </ext>
      </extLst>
    </row>
    <row r="84" spans="1:8">
      <c r="A84" s="28" t="s">
        <v>155</v>
      </c>
      <c r="B84" s="26" t="n">
        <v>43745</v>
      </c>
      <c r="C84" s="25" t="n">
        <v>0.95416666666666714</v>
      </c>
      <c r="D84" t="n">
        <v>74.9319666666666819</v>
      </c>
      <c r="E84" t="n">
        <v>128.79226666666699</v>
      </c>
      <c r="F84" t="s">
        <v>181</v>
      </c>
      <c r="G84" s="21">
        <f>B84+C84</f>
        <v>43745.9541666666992</v>
      </c>
      <c r="H84" s="13">
        <f>AVERAGE(G84:G85)</f>
        <v>43746.2354166666992</v>
      </c>
    </row>
    <row r="85" spans="1:7" hidden="1">
      <c r="A85" s="28"/>
      <c r="B85" s="26" t="n">
        <v>43746</v>
      </c>
      <c r="C85" s="25" t="n">
        <v>0.51666666666666714</v>
      </c>
      <c r="D85" t="n">
        <v>75.0020666666667069</v>
      </c>
      <c r="E85" t="n">
        <v>126.800200000000004</v>
      </c>
      <c r="F85" t="s">
        <v>182</v>
      </c>
      <c r="G85" s="21">
        <f>B85+C85</f>
        <v>43746.5166666666992</v>
      </c>
      <extLst>
        <ext uri="smNativeData">
          <pm:rowDef xmlns:pm="smNativeData" id="1605907435" r="85" hidden="1" collapsedDB="0" collapsedOL="0"/>
        </ext>
      </extLst>
    </row>
    <row r="86" spans="1:8">
      <c r="A86" s="28" t="s">
        <v>156</v>
      </c>
      <c r="B86" s="26" t="n">
        <v>43746</v>
      </c>
      <c r="C86" s="25" t="n">
        <v>0.520833333333333037</v>
      </c>
      <c r="D86" t="n">
        <v>75.010583333333301</v>
      </c>
      <c r="E86" t="n">
        <v>126.81086666666701</v>
      </c>
      <c r="F86" t="s">
        <v>181</v>
      </c>
      <c r="G86" s="21">
        <f>B86+C86</f>
        <v>43746.5208333332994</v>
      </c>
      <c r="H86" s="13">
        <f>AVERAGE(G86:G87)</f>
        <v>43746.71875</v>
      </c>
    </row>
    <row r="87" spans="1:7" hidden="1">
      <c r="A87" s="28"/>
      <c r="B87" s="26" t="n">
        <v>43746</v>
      </c>
      <c r="C87" s="25" t="n">
        <v>0.916666666666666785</v>
      </c>
      <c r="D87" t="n">
        <v>75.2000500000000045</v>
      </c>
      <c r="E87" t="n">
        <v>129.144316666667038</v>
      </c>
      <c r="F87" t="s">
        <v>182</v>
      </c>
      <c r="G87" s="21">
        <f>B87+C87</f>
        <v>43746.9166666667006</v>
      </c>
      <extLst>
        <ext uri="smNativeData">
          <pm:rowDef xmlns:pm="smNativeData" id="1605907435" r="87" hidden="1" collapsedDB="0" collapsedOL="0"/>
        </ext>
      </extLst>
    </row>
    <row r="88" spans="1:8">
      <c r="A88" s="28" t="s">
        <v>157</v>
      </c>
      <c r="B88" s="26" t="n">
        <v>43746</v>
      </c>
      <c r="C88" s="25" t="n">
        <v>0.923611111111111072</v>
      </c>
      <c r="D88" t="n">
        <v>75.2119666666666831</v>
      </c>
      <c r="E88" t="n">
        <v>129.148366666666988</v>
      </c>
      <c r="F88" t="s">
        <v>181</v>
      </c>
      <c r="G88" s="21">
        <f>B88+C88</f>
        <v>43746.9236111111022</v>
      </c>
      <c r="H88" s="13">
        <f>AVERAGE(G88:G89)</f>
        <v>43747.4215277777985</v>
      </c>
    </row>
    <row r="89" spans="1:7" hidden="1">
      <c r="A89" s="28"/>
      <c r="B89" s="26" t="n">
        <v>43747</v>
      </c>
      <c r="C89" s="25" t="n">
        <v>0.919444444444444109</v>
      </c>
      <c r="D89" t="n">
        <v>76.394633333333303</v>
      </c>
      <c r="E89" t="n">
        <v>125.456083333332998</v>
      </c>
      <c r="F89" t="s">
        <v>182</v>
      </c>
      <c r="G89" s="21">
        <f>B89+C89</f>
        <v>43747.919444444502</v>
      </c>
      <extLst>
        <ext uri="smNativeData">
          <pm:rowDef xmlns:pm="smNativeData" id="1605907435" r="89" hidden="1" collapsedDB="0" collapsedOL="0"/>
        </ext>
      </extLst>
    </row>
    <row r="90" spans="1:8">
      <c r="A90" s="28" t="s">
        <v>158</v>
      </c>
      <c r="B90" s="26" t="n">
        <v>43747</v>
      </c>
      <c r="C90" s="25" t="n">
        <v>0.927777777777777857</v>
      </c>
      <c r="D90" t="n">
        <v>76.3945999999999827</v>
      </c>
      <c r="E90" t="n">
        <v>125.505466666667004</v>
      </c>
      <c r="F90" t="s">
        <v>181</v>
      </c>
      <c r="G90" s="21">
        <f>B90+C90</f>
        <v>43747.927777777797</v>
      </c>
      <c r="H90" s="13">
        <f>AVERAGE(G90:G91)</f>
        <v>43748.2274305555984</v>
      </c>
    </row>
    <row r="91" spans="1:7" hidden="1">
      <c r="A91" s="28"/>
      <c r="B91" s="26" t="n">
        <v>43748</v>
      </c>
      <c r="C91" s="25" t="n">
        <v>0.527083333333333037</v>
      </c>
      <c r="D91" t="n">
        <v>76.7635499999999809</v>
      </c>
      <c r="E91" t="n">
        <v>125.853616666667008</v>
      </c>
      <c r="F91" t="s">
        <v>182</v>
      </c>
      <c r="G91" s="21">
        <f>B91+C91</f>
        <v>43748.5270833332979</v>
      </c>
      <extLst>
        <ext uri="smNativeData">
          <pm:rowDef xmlns:pm="smNativeData" id="1605907435" r="91" hidden="1" collapsedDB="0" collapsedOL="0"/>
        </ext>
      </extLst>
    </row>
    <row r="92" spans="1:8">
      <c r="A92" s="28" t="s">
        <v>159</v>
      </c>
      <c r="B92" s="26" t="n">
        <v>43748</v>
      </c>
      <c r="C92" s="25" t="n">
        <v>0.534722222222221966</v>
      </c>
      <c r="D92" t="n">
        <v>76.7776833333333002</v>
      </c>
      <c r="E92" t="n">
        <v>125.857933333332994</v>
      </c>
      <c r="F92" t="s">
        <v>181</v>
      </c>
      <c r="G92" s="21">
        <f>B92+C92</f>
        <v>43748.5347222221972</v>
      </c>
      <c r="H92" s="13">
        <f>AVERAGE(G92:G93)</f>
        <v>43748.6979166667006</v>
      </c>
    </row>
    <row r="93" spans="1:7" hidden="1">
      <c r="A93" s="28"/>
      <c r="B93" s="26" t="n">
        <v>43748</v>
      </c>
      <c r="C93" s="25" t="n">
        <v>0.861111111111111072</v>
      </c>
      <c r="D93" t="n">
        <v>76.7779833333332959</v>
      </c>
      <c r="E93" t="n">
        <v>125.806833333332989</v>
      </c>
      <c r="F93" t="s">
        <v>182</v>
      </c>
      <c r="G93" s="21">
        <f>B93+C93</f>
        <v>43748.8611111111022</v>
      </c>
      <extLst>
        <ext uri="smNativeData">
          <pm:rowDef xmlns:pm="smNativeData" id="1605907435" r="93" hidden="1" collapsedDB="0" collapsedOL="0"/>
        </ext>
      </extLst>
    </row>
    <row r="94" spans="1:8">
      <c r="A94" s="28" t="s">
        <v>160</v>
      </c>
      <c r="B94" s="26" t="n">
        <v>43748</v>
      </c>
      <c r="C94" s="25" t="n">
        <v>0.865277777777777857</v>
      </c>
      <c r="D94" t="n">
        <v>76.7652999999999821</v>
      </c>
      <c r="E94" t="n">
        <v>125.79188333333299</v>
      </c>
      <c r="F94" t="s">
        <v>181</v>
      </c>
      <c r="G94" s="21">
        <f>B94+C94</f>
        <v>43748.865277777797</v>
      </c>
      <c r="H94" s="13">
        <f>AVERAGE(G94:G95)</f>
        <v>43749.2104166666977</v>
      </c>
    </row>
    <row r="95" spans="1:7" hidden="1">
      <c r="A95" s="28"/>
      <c r="B95" s="26" t="n">
        <v>43749</v>
      </c>
      <c r="C95" s="25" t="n">
        <v>0.555555555555555003</v>
      </c>
      <c r="D95" t="n">
        <v>76.8996833333333001</v>
      </c>
      <c r="E95" t="n">
        <v>127.724216666667004</v>
      </c>
      <c r="F95" t="s">
        <v>182</v>
      </c>
      <c r="G95" s="21">
        <f>B95+C95</f>
        <v>43749.5555555555984</v>
      </c>
      <extLst>
        <ext uri="smNativeData">
          <pm:rowDef xmlns:pm="smNativeData" id="1605907435" r="95" hidden="1" collapsedDB="0" collapsedOL="0"/>
        </ext>
      </extLst>
    </row>
    <row r="96" spans="1:8">
      <c r="A96" s="28" t="s">
        <v>161</v>
      </c>
      <c r="B96" s="26" t="n">
        <v>43749</v>
      </c>
      <c r="C96" s="25" t="n">
        <v>0.5625</v>
      </c>
      <c r="D96" t="n">
        <v>76.8953833333333137</v>
      </c>
      <c r="E96" t="n">
        <v>127.744299999999996</v>
      </c>
      <c r="F96" t="s">
        <v>181</v>
      </c>
      <c r="G96" s="21">
        <f>B96+C96</f>
        <v>43749.5625</v>
      </c>
      <c r="H96" s="13">
        <f>AVERAGE(G96:G97)</f>
        <v>43749.7652777777985</v>
      </c>
    </row>
    <row r="97" spans="1:7" hidden="1">
      <c r="A97" s="28"/>
      <c r="B97" s="26" t="n">
        <v>43749</v>
      </c>
      <c r="C97" s="25" t="n">
        <v>0.968055555555556069</v>
      </c>
      <c r="D97" t="n">
        <v>76.8925666666666814</v>
      </c>
      <c r="E97" t="n">
        <v>127.805483333332987</v>
      </c>
      <c r="F97" t="s">
        <v>182</v>
      </c>
      <c r="G97" s="21">
        <f>B97+C97</f>
        <v>43749.9680555555969</v>
      </c>
      <extLst>
        <ext uri="smNativeData">
          <pm:rowDef xmlns:pm="smNativeData" id="1605907435" r="97" hidden="1" collapsedDB="0" collapsedOL="0"/>
        </ext>
      </extLst>
    </row>
    <row r="98" spans="1:8">
      <c r="A98" s="28" t="s">
        <v>162</v>
      </c>
      <c r="B98" s="26" t="n">
        <v>43749</v>
      </c>
      <c r="C98" s="25" t="n">
        <v>0.975694444444444109</v>
      </c>
      <c r="D98" t="n">
        <v>76.8925833333332918</v>
      </c>
      <c r="E98" t="n">
        <v>127.805333333332996</v>
      </c>
      <c r="F98" t="s">
        <v>181</v>
      </c>
      <c r="G98" s="21">
        <f>B98+C98</f>
        <v>43749.9756944445035</v>
      </c>
      <c r="H98" s="13">
        <f>AVERAGE(G98:G99)</f>
        <v>43750.2413194445035</v>
      </c>
    </row>
    <row r="99" spans="1:7" hidden="1">
      <c r="A99" s="28"/>
      <c r="B99" s="26" t="n">
        <v>43750</v>
      </c>
      <c r="C99" s="25" t="n">
        <v>0.506944444444443842</v>
      </c>
      <c r="D99" t="n">
        <v>77.0252333333333041</v>
      </c>
      <c r="E99" t="n">
        <v>126.548699999999997</v>
      </c>
      <c r="F99" t="s">
        <v>182</v>
      </c>
      <c r="G99" s="21">
        <f>B99+C99</f>
        <v>43750.5069444445035</v>
      </c>
      <extLst>
        <ext uri="smNativeData">
          <pm:rowDef xmlns:pm="smNativeData" id="1605907435" r="99" hidden="1" collapsedDB="0" collapsedOL="0"/>
        </ext>
      </extLst>
    </row>
    <row r="100" spans="1:8">
      <c r="A100" s="28" t="s">
        <v>163</v>
      </c>
      <c r="B100" s="26" t="n">
        <v>43750</v>
      </c>
      <c r="C100" s="25" t="n">
        <v>0.514583333333332948</v>
      </c>
      <c r="D100" t="n">
        <v>77.1286000000000058</v>
      </c>
      <c r="E100" t="n">
        <v>126.29358333333299</v>
      </c>
      <c r="F100" t="s">
        <v>181</v>
      </c>
      <c r="G100" s="21">
        <f>B100+C100</f>
        <v>43750.5145833333008</v>
      </c>
      <c r="H100" s="13">
        <f>AVERAGE(G100:G101)</f>
        <v>43750.7156249999971</v>
      </c>
    </row>
    <row r="101" spans="1:7" hidden="1">
      <c r="A101" s="28"/>
      <c r="B101" s="26" t="n">
        <v>43750</v>
      </c>
      <c r="C101" s="25" t="n">
        <v>0.916666666666666785</v>
      </c>
      <c r="D101" t="n">
        <v>77.3239166666667046</v>
      </c>
      <c r="E101" t="n">
        <v>122.479433333332992</v>
      </c>
      <c r="F101" t="s">
        <v>182</v>
      </c>
      <c r="G101" s="21">
        <f>B101+C101</f>
        <v>43750.9166666667006</v>
      </c>
      <extLst>
        <ext uri="smNativeData">
          <pm:rowDef xmlns:pm="smNativeData" id="1605907435" r="101" hidden="1" collapsedDB="0" collapsedOL="0"/>
        </ext>
      </extLst>
    </row>
    <row r="102" spans="1:8">
      <c r="A102" s="28" t="s">
        <v>164</v>
      </c>
      <c r="B102" s="26" t="n">
        <v>43750</v>
      </c>
      <c r="C102" s="25" t="n">
        <v>0.923611111111111072</v>
      </c>
      <c r="D102" t="n">
        <v>77.3335833333332943</v>
      </c>
      <c r="E102" t="n">
        <v>122.456916666667027</v>
      </c>
      <c r="F102" t="s">
        <v>181</v>
      </c>
      <c r="G102" s="21">
        <f>B102+C102</f>
        <v>43750.9236111111022</v>
      </c>
      <c r="H102" s="13">
        <f>AVERAGE(G102:G103)</f>
        <v>43751.7256944445035</v>
      </c>
    </row>
    <row r="103" spans="1:7" hidden="1">
      <c r="A103" s="28"/>
      <c r="B103" s="26" t="n">
        <v>43752</v>
      </c>
      <c r="C103" s="25" t="n">
        <v>0.527777777777778034</v>
      </c>
      <c r="D103" t="n">
        <v>77.8518666666666945</v>
      </c>
      <c r="E103" t="n">
        <v>104.0017</v>
      </c>
      <c r="F103" t="s">
        <v>182</v>
      </c>
      <c r="G103" s="21">
        <f>B103+C103</f>
        <v>43752.5277777778028</v>
      </c>
      <extLst>
        <ext uri="smNativeData">
          <pm:rowDef xmlns:pm="smNativeData" id="1605907435" r="103" hidden="1" collapsedDB="0" collapsedOL="0"/>
        </ext>
      </extLst>
    </row>
    <row r="104" spans="1:8">
      <c r="A104" s="28" t="s">
        <v>165</v>
      </c>
      <c r="B104" s="26" t="n">
        <v>43752</v>
      </c>
      <c r="C104" s="25" t="n">
        <v>0.532638888888889017</v>
      </c>
      <c r="D104" t="n">
        <v>77.9458833333333132</v>
      </c>
      <c r="E104" t="n">
        <v>104.009016666667009</v>
      </c>
      <c r="F104" t="s">
        <v>181</v>
      </c>
      <c r="G104" s="21">
        <f>B104+C104</f>
        <v>43752.5326388889007</v>
      </c>
      <c r="H104" s="13">
        <f>AVERAGE(G104:G105)</f>
        <v>43752.724652777797</v>
      </c>
    </row>
    <row r="105" spans="1:7" hidden="1">
      <c r="A105" s="28"/>
      <c r="B105" s="26" t="n">
        <v>43752</v>
      </c>
      <c r="C105" s="25" t="n">
        <v>0.916666666666666785</v>
      </c>
      <c r="D105" t="n">
        <v>77.9768666666666945</v>
      </c>
      <c r="E105" t="n">
        <v>104.358549999999994</v>
      </c>
      <c r="F105" t="s">
        <v>182</v>
      </c>
      <c r="G105" s="21">
        <f>B105+C105</f>
        <v>43752.9166666667006</v>
      </c>
      <extLst>
        <ext uri="smNativeData">
          <pm:rowDef xmlns:pm="smNativeData" id="1605907435" r="105" hidden="1" collapsedDB="0" collapsedOL="0"/>
        </ext>
      </extLst>
    </row>
    <row r="106" spans="1:8">
      <c r="A106" s="28" t="s">
        <v>166</v>
      </c>
      <c r="B106" s="26" t="n">
        <v>43753</v>
      </c>
      <c r="C106" s="25" t="n">
        <v>0.768055555555555891</v>
      </c>
      <c r="D106" t="n">
        <v>76.2349833333333038</v>
      </c>
      <c r="E106" t="n">
        <v>88.9558333333333024</v>
      </c>
      <c r="F106" t="s">
        <v>181</v>
      </c>
      <c r="G106" s="21">
        <f>B106+C106</f>
        <v>43753.7680555555999</v>
      </c>
      <c r="H106" s="13">
        <f>AVERAGE(G106:G107)</f>
        <v>43754.3097222223005</v>
      </c>
    </row>
    <row r="107" spans="1:7" hidden="1">
      <c r="A107" s="28"/>
      <c r="B107" s="26" t="n">
        <v>43754</v>
      </c>
      <c r="C107" s="25" t="n">
        <v>0.851388888888888928</v>
      </c>
      <c r="D107" t="n">
        <v>76.1026499999999828</v>
      </c>
      <c r="E107" t="n">
        <v>88.9436000000000035</v>
      </c>
      <c r="F107" t="s">
        <v>182</v>
      </c>
      <c r="G107" s="21">
        <f>B107+C107</f>
        <v>43754.8513888888992</v>
      </c>
      <extLst>
        <ext uri="smNativeData">
          <pm:rowDef xmlns:pm="smNativeData" id="1605907435" r="107" hidden="1" collapsedDB="0" collapsedOL="0"/>
        </ext>
      </extLst>
    </row>
    <row r="108" spans="1:8">
      <c r="A108" s="28" t="s">
        <v>167</v>
      </c>
      <c r="B108" s="26" t="n">
        <v>43754</v>
      </c>
      <c r="C108" s="25" t="n">
        <v>0.859027777777777857</v>
      </c>
      <c r="D108" t="n">
        <v>73.9863500000000016</v>
      </c>
      <c r="E108" t="n">
        <v>74.5835333333332926</v>
      </c>
      <c r="F108" t="s">
        <v>181</v>
      </c>
      <c r="G108" s="21">
        <f>B108+C108</f>
        <v>43754.8590277777985</v>
      </c>
      <c r="H108" s="13">
        <f>AVERAGE(G108:G109)</f>
        <v>43755.1829861111983</v>
      </c>
    </row>
    <row r="109" spans="1:7" hidden="1">
      <c r="A109" s="28"/>
      <c r="B109" s="26" t="n">
        <v>43755</v>
      </c>
      <c r="C109" s="25" t="n">
        <v>0.506944444444443842</v>
      </c>
      <c r="D109" t="n">
        <v>73.6422333333332944</v>
      </c>
      <c r="E109" t="n">
        <v>73.2524166666667043</v>
      </c>
      <c r="F109" t="s">
        <v>182</v>
      </c>
      <c r="G109" s="21">
        <f>B109+C109</f>
        <v>43755.5069444445035</v>
      </c>
      <extLst>
        <ext uri="smNativeData">
          <pm:rowDef xmlns:pm="smNativeData" id="1605907435" r="109" hidden="1" collapsedDB="0" collapsedOL="0"/>
        </ext>
      </extLst>
    </row>
    <row r="110" spans="1:8">
      <c r="A110" s="28" t="s">
        <v>168</v>
      </c>
      <c r="B110" s="26" t="n">
        <v>43755</v>
      </c>
      <c r="C110" s="25" t="n">
        <v>0.510416666666666963</v>
      </c>
      <c r="D110" t="n">
        <v>73.6367166666667003</v>
      </c>
      <c r="E110" t="n">
        <v>73.2500333333332918</v>
      </c>
      <c r="F110" t="s">
        <v>181</v>
      </c>
      <c r="G110" s="21">
        <f>B110+C110</f>
        <v>43755.5104166667006</v>
      </c>
      <c r="H110" s="13">
        <f>AVERAGE(G110:G111)</f>
        <v>43755.9357638888978</v>
      </c>
    </row>
    <row r="111" spans="1:7" hidden="1">
      <c r="A111" s="28"/>
      <c r="B111" s="26" t="n">
        <v>43756</v>
      </c>
      <c r="C111" s="25" t="n">
        <v>0.361111111111110983</v>
      </c>
      <c r="D111" t="n">
        <v>72.9968166666667031</v>
      </c>
      <c r="E111" t="n">
        <v>65.6645000000000039</v>
      </c>
      <c r="F111" t="s">
        <v>182</v>
      </c>
      <c r="G111" s="21">
        <f>B111+C111</f>
        <v>43756.3611111111022</v>
      </c>
      <extLst>
        <ext uri="smNativeData">
          <pm:rowDef xmlns:pm="smNativeData" id="1605907435" r="111" hidden="1" collapsedDB="0" collapsedOL="0"/>
        </ext>
      </extLst>
    </row>
    <row r="112" spans="1:8">
      <c r="A112" s="28" t="s">
        <v>169</v>
      </c>
      <c r="B112" s="26" t="n">
        <v>43756</v>
      </c>
      <c r="C112" s="25" t="n">
        <v>0.375</v>
      </c>
      <c r="D112" t="n">
        <v>72.9800500000000056</v>
      </c>
      <c r="E112" t="n">
        <v>65.6173500000000018</v>
      </c>
      <c r="F112" t="s">
        <v>181</v>
      </c>
      <c r="G112" s="21">
        <f>B112+C112</f>
        <v>43756.375</v>
      </c>
      <c r="H112" s="13">
        <f>AVERAGE(G112:G113)</f>
        <v>43756.5218749999985</v>
      </c>
    </row>
    <row r="113" spans="1:7" hidden="1">
      <c r="A113" s="28"/>
      <c r="B113" s="26" t="n">
        <v>43756</v>
      </c>
      <c r="C113" s="25" t="n">
        <v>0.66875</v>
      </c>
      <c r="D113" t="n">
        <v>72.0701999999999998</v>
      </c>
      <c r="E113" t="n">
        <v>62.6510999999999996</v>
      </c>
      <c r="F113" t="s">
        <v>182</v>
      </c>
      <c r="G113" s="21">
        <f>B113+C113</f>
        <v>43756.6687499999971</v>
      </c>
      <extLst>
        <ext uri="smNativeData">
          <pm:rowDef xmlns:pm="smNativeData" id="1605907435" r="113" hidden="1" collapsedDB="0" collapsedOL="0"/>
        </ext>
      </extLst>
    </row>
    <row r="114" spans="1:8">
      <c r="A114" s="28" t="s">
        <v>170</v>
      </c>
      <c r="B114" s="26" t="n">
        <v>43756</v>
      </c>
      <c r="C114" s="25" t="n">
        <v>0.67569444444444402</v>
      </c>
      <c r="D114" t="n">
        <v>72.0634333333332933</v>
      </c>
      <c r="E114" t="n">
        <v>62.6317333333333011</v>
      </c>
      <c r="F114" t="s">
        <v>181</v>
      </c>
      <c r="G114" s="21">
        <f>B114+C114</f>
        <v>43756.6756944443987</v>
      </c>
      <c r="H114" s="13">
        <f>AVERAGE(G114:G115)</f>
        <v>43756.8170138889036</v>
      </c>
    </row>
    <row r="115" spans="1:7" hidden="1">
      <c r="A115" s="28"/>
      <c r="B115" s="26" t="n">
        <v>43756</v>
      </c>
      <c r="C115" s="25" t="n">
        <v>0.958333333333333037</v>
      </c>
      <c r="D115" t="n">
        <v>71.3765999999999963</v>
      </c>
      <c r="E115" t="n">
        <v>60.5046166666666991</v>
      </c>
      <c r="F115" t="s">
        <v>182</v>
      </c>
      <c r="G115" s="21">
        <f>B115+C115</f>
        <v>43756.9583333332994</v>
      </c>
      <extLst>
        <ext uri="smNativeData">
          <pm:rowDef xmlns:pm="smNativeData" id="1605907435" r="115" hidden="1" collapsedDB="0" collapsedOL="0"/>
        </ext>
      </extLst>
    </row>
    <row r="116" spans="1:8">
      <c r="A116" s="28" t="s">
        <v>171</v>
      </c>
      <c r="B116" s="26" t="n">
        <v>43756</v>
      </c>
      <c r="C116" s="25" t="n">
        <v>0.961111111111111072</v>
      </c>
      <c r="D116" t="n">
        <v>71.3697833333333023</v>
      </c>
      <c r="E116" t="n">
        <v>60.4918833333332984</v>
      </c>
      <c r="F116" t="s">
        <v>181</v>
      </c>
      <c r="G116" s="21">
        <f>B116+C116</f>
        <v>43756.9611111111008</v>
      </c>
      <c r="H116" s="13">
        <f>AVERAGE(G116:G117)</f>
        <v>43757.3312500000029</v>
      </c>
    </row>
    <row r="117" spans="1:7" hidden="1">
      <c r="A117" s="28"/>
      <c r="B117" s="26" t="n">
        <v>43757</v>
      </c>
      <c r="C117" s="25" t="n">
        <v>0.70138888888888884</v>
      </c>
      <c r="D117" t="n">
        <v>70.1906333333332952</v>
      </c>
      <c r="E117" t="n">
        <v>56.2815500000000029</v>
      </c>
      <c r="F117" t="s">
        <v>182</v>
      </c>
      <c r="G117" s="21">
        <f>B117+C117</f>
        <v>43757.7013888888978</v>
      </c>
      <extLst>
        <ext uri="smNativeData">
          <pm:rowDef xmlns:pm="smNativeData" id="1605907435" r="117" hidden="1" collapsedDB="0" collapsedOL="0"/>
        </ext>
      </extLst>
    </row>
    <row r="118" spans="1:8">
      <c r="A118" s="28" t="s">
        <v>172</v>
      </c>
      <c r="B118" s="26" t="n">
        <v>43757</v>
      </c>
      <c r="C118" s="25" t="n">
        <v>0.70625</v>
      </c>
      <c r="D118" t="n">
        <v>70.3050000000000068</v>
      </c>
      <c r="E118" t="n">
        <v>56.3680555555555998</v>
      </c>
      <c r="F118" t="s">
        <v>181</v>
      </c>
      <c r="G118" s="21">
        <f>B118+C118</f>
        <v>43757.7062500000029</v>
      </c>
      <c r="H118" s="13">
        <f>AVERAGE(G118:G119)</f>
        <v>43758.2385416667021</v>
      </c>
    </row>
    <row r="119" spans="1:7" hidden="1">
      <c r="A119" s="28"/>
      <c r="B119" s="26" t="n">
        <v>43758</v>
      </c>
      <c r="C119" s="25" t="n">
        <v>0.770833333333333037</v>
      </c>
      <c r="D119" t="n">
        <v>69.3383333333332956</v>
      </c>
      <c r="E119" t="n">
        <v>45.0602777777777987</v>
      </c>
      <c r="F119" t="s">
        <v>182</v>
      </c>
      <c r="G119" s="21">
        <f>B119+C119</f>
        <v>43758.7708333332994</v>
      </c>
      <extLst>
        <ext uri="smNativeData">
          <pm:rowDef xmlns:pm="smNativeData" id="1605907435" r="119" hidden="1" collapsedDB="0" collapsedOL="0"/>
        </ext>
      </extLst>
    </row>
    <row r="120" spans="1:8">
      <c r="A120" t="s">
        <v>173</v>
      </c>
      <c r="B120" s="26" t="n">
        <v>43758</v>
      </c>
      <c r="C120" s="25" t="n">
        <v>0.78125</v>
      </c>
      <c r="D120" t="n">
        <v>69.196666666666701</v>
      </c>
      <c r="E120" t="n">
        <v>44.846388888888896</v>
      </c>
      <c r="F120" t="s">
        <v>181</v>
      </c>
      <c r="G120" s="21">
        <f>B120+C120</f>
        <v>43758.78125</v>
      </c>
      <c r="H120" s="13">
        <f>AVERAGE(G120:G121)</f>
        <v>43759.1197916667006</v>
      </c>
    </row>
    <row r="121" spans="2:7" hidden="1">
      <c r="B121" s="26" t="n">
        <v>43759</v>
      </c>
      <c r="C121" s="25" t="n">
        <v>0.458333333333332948</v>
      </c>
      <c r="D121" t="n">
        <v>67.1400000000000006</v>
      </c>
      <c r="E121" t="n">
        <v>41.7472222222221987</v>
      </c>
      <c r="F121" t="s">
        <v>182</v>
      </c>
      <c r="G121" s="21">
        <f>B121+C121</f>
        <v>43759.4583333332994</v>
      </c>
      <extLst>
        <ext uri="smNativeData">
          <pm:rowDef xmlns:pm="smNativeData" id="1605907435" r="121" hidden="1" collapsedDB="0" collapsedOL="0"/>
        </ext>
      </extLst>
    </row>
  </sheetData>
  <autoFilter ref="H1:H121"/>
  <printOptions>
    <extLst>
      <ext uri="smNativeData">
        <pm:pageFlags xmlns:pm="smNativeData" id="1605907435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Roman"&amp;12&amp;A</oddHeader>
    <oddFooter>&amp;C&amp;"Times New Roman"&amp;12Страница &amp;P</oddFooter>
    <extLst>
      <ext uri="smNativeData">
        <pm:header xmlns:pm="smNativeData" id="1605907435" l="56" r="56" t="56" b="56" borderId="0" fillId="0" vertical="0"/>
        <pm:footer xmlns:pm="smNativeData" id="1605907435" l="56" r="56" t="56" b="56" borderId="0" fillId="0" vertical="2"/>
      </ext>
    </extLst>
  </headerFooter>
  <extLst>
    <ext uri="smNativeData">
      <pm:sheetPrefs xmlns:pm="smNativeData" day="16059074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fisa</cp:lastModifiedBy>
  <cp:revision>0</cp:revision>
  <dcterms:created xsi:type="dcterms:W3CDTF">2020-03-11T19:33:43Z</dcterms:created>
  <dcterms:modified xsi:type="dcterms:W3CDTF">2020-11-20T21:23:55Z</dcterms:modified>
</cp:coreProperties>
</file>