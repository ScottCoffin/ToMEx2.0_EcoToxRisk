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Anfisa2020_arctic_sea/"/>
    </mc:Choice>
  </mc:AlternateContent>
  <xr:revisionPtr revIDLastSave="0" documentId="13_ncr:1_{285F4343-665A-B64B-9529-D845D07F0EA4}" xr6:coauthVersionLast="47" xr6:coauthVersionMax="47" xr10:uidLastSave="{00000000-0000-0000-0000-000000000000}"/>
  <bookViews>
    <workbookView xWindow="36200" yWindow="5460" windowWidth="32080" windowHeight="19700" tabRatio="500" xr2:uid="{00000000-000D-0000-FFFF-FFFF00000000}"/>
  </bookViews>
  <sheets>
    <sheet name="chem_surf" sheetId="1" r:id="rId1"/>
    <sheet name="chem_sub" sheetId="2" r:id="rId2"/>
    <sheet name="chem_sub_old" sheetId="3" r:id="rId3"/>
  </sheets>
  <definedNames>
    <definedName name="_xlnm._FilterDatabase" localSheetId="2" hidden="1">chem_sub_old!$O$1:$O$112</definedName>
    <definedName name="_xlnm._FilterDatabase" localSheetId="0" hidden="1">chem_surf!$B$1:$B$42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597788867" val="976" rev="124" rev64="64" revOS="3" revMin="124" revMax="0"/>
      <pm:docPrefs xmlns:pm="smNativeData" id="1597788867" fixedDigits="0" showNotice="1" showFrameBounds="1" autoChart="1" recalcOnPrint="1" recalcOnCopy="1" finalRounding="1" compatTextArt="1" tab="567" useDefinedPrintRange="1" printArea="currentSheet"/>
      <pm:compatibility xmlns:pm="smNativeData" id="1597788867" overlapCells="1"/>
      <pm:defCurrency xmlns:pm="smNativeData" id="1597788867"/>
    </ext>
  </extLst>
</workbook>
</file>

<file path=xl/calcChain.xml><?xml version="1.0" encoding="utf-8"?>
<calcChain xmlns="http://schemas.openxmlformats.org/spreadsheetml/2006/main">
  <c r="F112" i="3" l="1"/>
  <c r="F111" i="3"/>
  <c r="F106" i="3"/>
  <c r="F103" i="3"/>
  <c r="F102" i="3"/>
  <c r="F101" i="3"/>
  <c r="F100" i="3"/>
  <c r="F98" i="3"/>
  <c r="F97" i="3"/>
  <c r="F90" i="3"/>
  <c r="F89" i="3"/>
  <c r="F88" i="3"/>
  <c r="F87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59" i="3"/>
  <c r="F57" i="3"/>
  <c r="F56" i="3"/>
  <c r="F54" i="3"/>
  <c r="F51" i="3"/>
  <c r="F50" i="3"/>
  <c r="F49" i="3"/>
  <c r="F48" i="3"/>
  <c r="F47" i="3"/>
  <c r="F45" i="3"/>
  <c r="F44" i="3"/>
  <c r="F43" i="3"/>
  <c r="F42" i="3"/>
  <c r="F38" i="3"/>
  <c r="F35" i="3"/>
  <c r="F34" i="3"/>
  <c r="F33" i="3"/>
  <c r="F31" i="3"/>
  <c r="F30" i="3"/>
  <c r="F29" i="3"/>
  <c r="F21" i="3"/>
  <c r="F20" i="3"/>
  <c r="F19" i="3"/>
  <c r="F18" i="3"/>
  <c r="F17" i="3"/>
  <c r="F16" i="3"/>
  <c r="F13" i="3"/>
  <c r="F12" i="3"/>
  <c r="F9" i="3"/>
  <c r="F8" i="3"/>
  <c r="F6" i="3"/>
</calcChain>
</file>

<file path=xl/sharedStrings.xml><?xml version="1.0" encoding="utf-8"?>
<sst xmlns="http://schemas.openxmlformats.org/spreadsheetml/2006/main" count="1582" uniqueCount="126">
  <si>
    <t>Type</t>
  </si>
  <si>
    <t>st</t>
  </si>
  <si>
    <t>Salinity</t>
  </si>
  <si>
    <t>Square</t>
  </si>
  <si>
    <t>Polymer</t>
  </si>
  <si>
    <t>Sea</t>
  </si>
  <si>
    <t>wm_new</t>
  </si>
  <si>
    <t>Fragment</t>
  </si>
  <si>
    <t>S_01</t>
  </si>
  <si>
    <t>PE</t>
  </si>
  <si>
    <t>Barents Sea</t>
  </si>
  <si>
    <t>Atlantic surface water</t>
  </si>
  <si>
    <t>PVC</t>
  </si>
  <si>
    <t>S_02</t>
  </si>
  <si>
    <t>Fibre</t>
  </si>
  <si>
    <t>S_03</t>
  </si>
  <si>
    <t>Polyester</t>
  </si>
  <si>
    <t>Kara Sea</t>
  </si>
  <si>
    <t>S_09</t>
  </si>
  <si>
    <t>PP</t>
  </si>
  <si>
    <t>Inner Plume</t>
  </si>
  <si>
    <t>PA</t>
  </si>
  <si>
    <t>S_10</t>
  </si>
  <si>
    <t>Outer Plume</t>
  </si>
  <si>
    <t>S_20</t>
  </si>
  <si>
    <t>East Siberian Sea</t>
  </si>
  <si>
    <t>S_21</t>
  </si>
  <si>
    <t>PUR</t>
  </si>
  <si>
    <t>S_23</t>
  </si>
  <si>
    <t>S_28</t>
  </si>
  <si>
    <t>Laptev Sea</t>
  </si>
  <si>
    <t>S_31</t>
  </si>
  <si>
    <t>S_32</t>
  </si>
  <si>
    <t>S_46</t>
  </si>
  <si>
    <t>PS</t>
  </si>
  <si>
    <t>Color</t>
  </si>
  <si>
    <t>Long</t>
  </si>
  <si>
    <t>Short</t>
  </si>
  <si>
    <t>Comment</t>
  </si>
  <si>
    <t>Lon</t>
  </si>
  <si>
    <t>Lat</t>
  </si>
  <si>
    <t>Dens</t>
  </si>
  <si>
    <t>Mass</t>
  </si>
  <si>
    <t>width</t>
  </si>
  <si>
    <t>Gray</t>
  </si>
  <si>
    <t>PET</t>
  </si>
  <si>
    <t>P-02</t>
  </si>
  <si>
    <t>Transp</t>
  </si>
  <si>
    <t>film, folded</t>
  </si>
  <si>
    <t>film</t>
  </si>
  <si>
    <t>PMMA</t>
  </si>
  <si>
    <t>Black</t>
  </si>
  <si>
    <t>R-02</t>
  </si>
  <si>
    <t>Blue</t>
  </si>
  <si>
    <t>Acryl_fibre</t>
  </si>
  <si>
    <t>R-03</t>
  </si>
  <si>
    <t>brown/transp</t>
  </si>
  <si>
    <t>R-05</t>
  </si>
  <si>
    <t>Polyester_fibre</t>
  </si>
  <si>
    <t>R-06</t>
  </si>
  <si>
    <t>white</t>
  </si>
  <si>
    <t>NBR</t>
  </si>
  <si>
    <t>R-08</t>
  </si>
  <si>
    <t>R-09</t>
  </si>
  <si>
    <t>R-10</t>
  </si>
  <si>
    <t>Turkisk</t>
  </si>
  <si>
    <t>turkisk</t>
  </si>
  <si>
    <t>R-12</t>
  </si>
  <si>
    <t>Polar surface water</t>
  </si>
  <si>
    <t>bead</t>
  </si>
  <si>
    <t>PTFE</t>
  </si>
  <si>
    <t>R-13</t>
  </si>
  <si>
    <t>transp</t>
  </si>
  <si>
    <t>POM</t>
  </si>
  <si>
    <t>R-14</t>
  </si>
  <si>
    <t>Gray/transp</t>
  </si>
  <si>
    <t>R-15</t>
  </si>
  <si>
    <t>Gray/black</t>
  </si>
  <si>
    <t>R-16</t>
  </si>
  <si>
    <t>R-17</t>
  </si>
  <si>
    <t>black</t>
  </si>
  <si>
    <t>gray/black</t>
  </si>
  <si>
    <t>R-18</t>
  </si>
  <si>
    <t>pink</t>
  </si>
  <si>
    <t>R-19</t>
  </si>
  <si>
    <t>R-20</t>
  </si>
  <si>
    <t>gray</t>
  </si>
  <si>
    <t>R-21</t>
  </si>
  <si>
    <t>R-22</t>
  </si>
  <si>
    <t>white/brown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</si>
  <si>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</si>
  <si>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</si>
  <si>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</si>
  <si>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</si>
  <si>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</si>
  <si>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</si>
  <si>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</si>
  <si>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</si>
  <si>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</si>
  <si>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R-34</t>
  </si>
  <si>
    <t>R-36</t>
  </si>
  <si>
    <t>yellow</t>
  </si>
  <si>
    <t>R-37</t>
  </si>
  <si>
    <t>R-39</t>
  </si>
  <si>
    <t>R-40</t>
  </si>
  <si>
    <t>R-42</t>
  </si>
  <si>
    <t>R-43</t>
  </si>
  <si>
    <t>R-44</t>
  </si>
  <si>
    <t>121(30)</t>
  </si>
  <si>
    <t>SAN</t>
  </si>
  <si>
    <t>R-49</t>
  </si>
  <si>
    <t>R-50</t>
  </si>
  <si>
    <t>R-51</t>
  </si>
  <si>
    <t>Phenoxy resin</t>
  </si>
  <si>
    <t>R-52</t>
  </si>
  <si>
    <t>PPPO</t>
  </si>
  <si>
    <t>R-54</t>
  </si>
  <si>
    <t>R-56</t>
  </si>
  <si>
    <t>R-57</t>
  </si>
  <si>
    <t>R-58</t>
  </si>
  <si>
    <t>green</t>
  </si>
  <si>
    <t>R-59</t>
  </si>
  <si>
    <t>white/gray</t>
  </si>
  <si>
    <t>blue</t>
  </si>
  <si>
    <t>R-60</t>
  </si>
  <si>
    <t>R-61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</si>
</sst>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_(_$* #,##0.00_);_(_$* \(#,##0.00\);_(_$* &quot;-&quot;????_);_(@_)"/>
    <numFmt numFmtId="173" formatCode="_(_$* #,##0_);_(_$* \(#,##0\);_(_$* &quot;-&quot;_);_(@_)"/>
    <numFmt numFmtId="174" formatCode="_(&quot;$&quot;* #,##0.00_);_(&quot;$&quot;* \(#,##0.00\);_(&quot;$&quot;* &quot;-&quot;????_);_(@_)"/>
    <numFmt numFmtId="175" formatCode="_(&quot;$&quot;* #,##0_);_(&quot;$&quot;* \(#,##0\);_(&quot;$&quot;* &quot;-&quot;_);_(@_)"/>
  </numFmts>
  <fonts count="3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mbria"/>
      <family val="2"/>
    </font>
  </fonts>
  <fills count="7">
    <fill>
      <patternFill patternType="none"/>
    </fill>
    <fill>
      <patternFill patternType="gray125"/>
    </fill>
    <fill>
      <patternFill patternType="solid">
        <fgColor rgb="FFFFAA95"/>
        <bgColor rgb="FFFFFFFF"/>
      </patternFill>
    </fill>
    <fill>
      <patternFill patternType="solid">
        <fgColor rgb="FF729FCF"/>
        <bgColor rgb="FFFFFFFF"/>
      </patternFill>
    </fill>
    <fill>
      <patternFill patternType="solid">
        <fgColor rgb="FFAFD095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172" fontId="1" fillId="0" borderId="0" applyBorder="0" applyAlignment="0" applyProtection="0"/>
    <xf numFmtId="173" fontId="1" fillId="0" borderId="0" applyBorder="0" applyAlignment="0" applyProtection="0"/>
    <xf numFmtId="174" fontId="1" fillId="0" borderId="0" applyBorder="0" applyAlignment="0" applyProtection="0"/>
    <xf numFmtId="175" fontId="1" fillId="0" borderId="0" applyBorder="0" applyAlignment="0" applyProtection="0"/>
    <xf numFmtId="9" fontId="1" fillId="0" borderId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3" xfId="0" applyFill="1" applyBorder="1"/>
    <xf numFmtId="11" fontId="0" fillId="0" borderId="0" xfId="0" applyNumberFormat="1"/>
    <xf numFmtId="0" fontId="0" fillId="4" borderId="4" xfId="0" applyFill="1" applyBorder="1"/>
    <xf numFmtId="0" fontId="0" fillId="5" borderId="5" xfId="0" applyFill="1" applyBorder="1"/>
    <xf numFmtId="0" fontId="2" fillId="6" borderId="1" xfId="0" applyFont="1" applyFill="1" applyBorder="1" applyAlignment="1">
      <alignment horizontal="center" vertical="top"/>
    </xf>
  </cellXfs>
  <cellStyles count="6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Normal" xfId="0" builtinId="0" customBuiltin="1"/>
    <cellStyle name="Per cent" xfId="5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788867" count="1">
        <pm:charStyle name="Обычный" fontId="0" Id="1"/>
      </pm:charStyles>
      <pm:colors xmlns:pm="smNativeData" id="1597788867" count="6">
        <pm:color name="Цвет 24" rgb="FFAA95"/>
        <pm:color name="Цвет 25" rgb="FFCC99"/>
        <pm:color name="Цвет 26" rgb="729FCF"/>
        <pm:color name="Цвет 27" rgb="969696"/>
        <pm:color name="Цвет 28" rgb="AFD095"/>
        <pm:color name="Цвет 29" rgb="99CCFF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125" workbookViewId="0">
      <selection activeCell="F1" sqref="F1"/>
    </sheetView>
  </sheetViews>
  <sheetFormatPr baseColWidth="10" defaultColWidth="8.83203125" defaultRowHeight="15" x14ac:dyDescent="0.2"/>
  <cols>
    <col min="1" max="1" width="8.5" customWidth="1"/>
    <col min="2" max="3" width="16.5" customWidth="1"/>
    <col min="4" max="4" width="8.5" customWidth="1"/>
    <col min="5" max="5" width="17.1640625" customWidth="1"/>
    <col min="6" max="6" width="22.6640625" customWidth="1"/>
    <col min="7" max="7" width="19.6640625" customWidth="1"/>
  </cols>
  <sheetData>
    <row r="1" spans="1:8" x14ac:dyDescent="0.2">
      <c r="B1" s="1" t="s">
        <v>0</v>
      </c>
      <c r="C1" s="2" t="s">
        <v>1</v>
      </c>
      <c r="D1" s="2" t="s">
        <v>2</v>
      </c>
      <c r="E1" s="2" t="s">
        <v>3</v>
      </c>
      <c r="F1" s="8" t="s">
        <v>4</v>
      </c>
      <c r="G1" s="2" t="s">
        <v>5</v>
      </c>
      <c r="H1" s="2" t="s">
        <v>6</v>
      </c>
    </row>
    <row r="2" spans="1:8" x14ac:dyDescent="0.2">
      <c r="A2" s="2">
        <v>0</v>
      </c>
      <c r="B2" s="2" t="s">
        <v>7</v>
      </c>
      <c r="C2" s="3" t="s">
        <v>8</v>
      </c>
      <c r="D2" s="3">
        <v>32.593499999999999</v>
      </c>
      <c r="E2">
        <v>5.0289999999999999</v>
      </c>
      <c r="F2" t="s">
        <v>9</v>
      </c>
      <c r="G2" t="s">
        <v>10</v>
      </c>
      <c r="H2" t="s">
        <v>11</v>
      </c>
    </row>
    <row r="3" spans="1:8" x14ac:dyDescent="0.2">
      <c r="A3" s="2">
        <v>1</v>
      </c>
      <c r="B3" s="2" t="s">
        <v>7</v>
      </c>
      <c r="C3" s="3" t="s">
        <v>8</v>
      </c>
      <c r="D3" s="3">
        <v>32.593499999999999</v>
      </c>
      <c r="E3">
        <v>21.393999999999998</v>
      </c>
      <c r="F3" t="s">
        <v>9</v>
      </c>
      <c r="G3" t="s">
        <v>10</v>
      </c>
      <c r="H3" t="s">
        <v>11</v>
      </c>
    </row>
    <row r="4" spans="1:8" x14ac:dyDescent="0.2">
      <c r="A4" s="2">
        <v>2</v>
      </c>
      <c r="B4" s="2" t="s">
        <v>7</v>
      </c>
      <c r="C4" s="3" t="s">
        <v>8</v>
      </c>
      <c r="D4" s="3">
        <v>32.593499999999999</v>
      </c>
      <c r="E4">
        <v>6.25</v>
      </c>
      <c r="F4" t="s">
        <v>9</v>
      </c>
      <c r="G4" t="s">
        <v>10</v>
      </c>
      <c r="H4" t="s">
        <v>11</v>
      </c>
    </row>
    <row r="5" spans="1:8" x14ac:dyDescent="0.2">
      <c r="A5" s="2">
        <v>3</v>
      </c>
      <c r="B5" s="2" t="s">
        <v>7</v>
      </c>
      <c r="C5" s="3" t="s">
        <v>8</v>
      </c>
      <c r="D5" s="3">
        <v>32.593499999999999</v>
      </c>
      <c r="E5">
        <v>6.25</v>
      </c>
      <c r="F5" t="s">
        <v>12</v>
      </c>
      <c r="G5" t="s">
        <v>10</v>
      </c>
      <c r="H5" t="s">
        <v>11</v>
      </c>
    </row>
    <row r="6" spans="1:8" x14ac:dyDescent="0.2">
      <c r="A6" s="2">
        <v>4</v>
      </c>
      <c r="B6" s="2" t="s">
        <v>7</v>
      </c>
      <c r="C6" s="3" t="s">
        <v>13</v>
      </c>
      <c r="D6" s="3">
        <v>33.198599999999999</v>
      </c>
      <c r="E6">
        <v>0.67900000000000005</v>
      </c>
      <c r="F6" t="s">
        <v>9</v>
      </c>
      <c r="G6" t="s">
        <v>10</v>
      </c>
      <c r="H6" t="s">
        <v>11</v>
      </c>
    </row>
    <row r="7" spans="1:8" x14ac:dyDescent="0.2">
      <c r="A7" s="2">
        <v>5</v>
      </c>
      <c r="B7" s="2" t="s">
        <v>14</v>
      </c>
      <c r="C7" s="3" t="s">
        <v>15</v>
      </c>
      <c r="D7" s="3">
        <v>31.7578</v>
      </c>
      <c r="E7">
        <v>5</v>
      </c>
      <c r="F7" t="s">
        <v>16</v>
      </c>
      <c r="G7" t="s">
        <v>17</v>
      </c>
      <c r="H7" t="s">
        <v>11</v>
      </c>
    </row>
    <row r="8" spans="1:8" x14ac:dyDescent="0.2">
      <c r="A8" s="2">
        <v>6</v>
      </c>
      <c r="B8" s="2" t="s">
        <v>7</v>
      </c>
      <c r="C8" s="3" t="s">
        <v>15</v>
      </c>
      <c r="D8" s="3">
        <v>31.7578</v>
      </c>
      <c r="E8">
        <v>11.456</v>
      </c>
      <c r="F8" t="s">
        <v>9</v>
      </c>
      <c r="G8" t="s">
        <v>17</v>
      </c>
      <c r="H8" t="s">
        <v>11</v>
      </c>
    </row>
    <row r="9" spans="1:8" x14ac:dyDescent="0.2">
      <c r="A9" s="2">
        <v>7</v>
      </c>
      <c r="B9" s="2" t="s">
        <v>7</v>
      </c>
      <c r="C9" s="3" t="s">
        <v>15</v>
      </c>
      <c r="D9" s="3">
        <v>31.7578</v>
      </c>
      <c r="E9">
        <v>2.6920000000000002</v>
      </c>
      <c r="F9" t="s">
        <v>9</v>
      </c>
      <c r="G9" t="s">
        <v>17</v>
      </c>
      <c r="H9" t="s">
        <v>11</v>
      </c>
    </row>
    <row r="10" spans="1:8" x14ac:dyDescent="0.2">
      <c r="A10" s="2">
        <v>8</v>
      </c>
      <c r="B10" s="2" t="s">
        <v>7</v>
      </c>
      <c r="C10" s="4" t="s">
        <v>18</v>
      </c>
      <c r="D10" s="4">
        <v>14.821300000000001</v>
      </c>
      <c r="E10">
        <v>2.1509999999999998</v>
      </c>
      <c r="F10" t="s">
        <v>19</v>
      </c>
      <c r="G10" t="s">
        <v>17</v>
      </c>
      <c r="H10" t="s">
        <v>20</v>
      </c>
    </row>
    <row r="11" spans="1:8" x14ac:dyDescent="0.2">
      <c r="A11" s="2">
        <v>9</v>
      </c>
      <c r="B11" s="2" t="s">
        <v>7</v>
      </c>
      <c r="C11" s="4" t="s">
        <v>18</v>
      </c>
      <c r="D11" s="4">
        <v>14.821300000000001</v>
      </c>
      <c r="E11">
        <v>2.577</v>
      </c>
      <c r="F11" t="s">
        <v>21</v>
      </c>
      <c r="G11" t="s">
        <v>17</v>
      </c>
      <c r="H11" t="s">
        <v>20</v>
      </c>
    </row>
    <row r="12" spans="1:8" x14ac:dyDescent="0.2">
      <c r="A12" s="2">
        <v>10</v>
      </c>
      <c r="B12" s="2" t="s">
        <v>14</v>
      </c>
      <c r="C12" s="4" t="s">
        <v>18</v>
      </c>
      <c r="D12" s="4">
        <v>14.821300000000001</v>
      </c>
      <c r="E12">
        <v>0.83099999999999985</v>
      </c>
      <c r="F12" t="s">
        <v>16</v>
      </c>
      <c r="G12" t="s">
        <v>17</v>
      </c>
      <c r="H12" t="s">
        <v>20</v>
      </c>
    </row>
    <row r="13" spans="1:8" x14ac:dyDescent="0.2">
      <c r="A13" s="2">
        <v>11</v>
      </c>
      <c r="B13" s="2" t="s">
        <v>7</v>
      </c>
      <c r="C13" s="4" t="s">
        <v>22</v>
      </c>
      <c r="D13" s="4">
        <v>19.851800000000001</v>
      </c>
      <c r="E13">
        <v>7.0659999999999998</v>
      </c>
      <c r="F13" t="s">
        <v>12</v>
      </c>
      <c r="G13" t="s">
        <v>17</v>
      </c>
      <c r="H13" t="s">
        <v>23</v>
      </c>
    </row>
    <row r="14" spans="1:8" x14ac:dyDescent="0.2">
      <c r="A14" s="2">
        <v>12</v>
      </c>
      <c r="B14" s="2" t="s">
        <v>7</v>
      </c>
      <c r="C14" s="4" t="s">
        <v>22</v>
      </c>
      <c r="D14" s="4">
        <v>19.851800000000001</v>
      </c>
      <c r="E14">
        <v>4.3230000000000004</v>
      </c>
      <c r="F14" t="s">
        <v>12</v>
      </c>
      <c r="G14" t="s">
        <v>17</v>
      </c>
      <c r="H14" t="s">
        <v>23</v>
      </c>
    </row>
    <row r="15" spans="1:8" x14ac:dyDescent="0.2">
      <c r="A15" s="2">
        <v>13</v>
      </c>
      <c r="B15" s="2" t="s">
        <v>7</v>
      </c>
      <c r="C15" s="4" t="s">
        <v>22</v>
      </c>
      <c r="D15" s="4">
        <v>19.851800000000001</v>
      </c>
      <c r="E15">
        <v>1.355</v>
      </c>
      <c r="F15" t="s">
        <v>12</v>
      </c>
      <c r="G15" t="s">
        <v>17</v>
      </c>
      <c r="H15" t="s">
        <v>23</v>
      </c>
    </row>
    <row r="16" spans="1:8" x14ac:dyDescent="0.2">
      <c r="A16" s="2">
        <v>14</v>
      </c>
      <c r="B16" s="2" t="s">
        <v>7</v>
      </c>
      <c r="C16" s="4" t="s">
        <v>22</v>
      </c>
      <c r="D16" s="4">
        <v>19.851800000000001</v>
      </c>
      <c r="E16">
        <v>0.80800000000000005</v>
      </c>
      <c r="F16" t="s">
        <v>21</v>
      </c>
      <c r="G16" t="s">
        <v>17</v>
      </c>
      <c r="H16" t="s">
        <v>23</v>
      </c>
    </row>
    <row r="17" spans="1:8" x14ac:dyDescent="0.2">
      <c r="A17" s="2">
        <v>15</v>
      </c>
      <c r="B17" s="2" t="s">
        <v>7</v>
      </c>
      <c r="C17" s="4" t="s">
        <v>22</v>
      </c>
      <c r="D17" s="4">
        <v>19.851800000000001</v>
      </c>
      <c r="E17">
        <v>0.51200000000000001</v>
      </c>
      <c r="F17" t="s">
        <v>21</v>
      </c>
      <c r="G17" t="s">
        <v>17</v>
      </c>
      <c r="H17" t="s">
        <v>23</v>
      </c>
    </row>
    <row r="18" spans="1:8" x14ac:dyDescent="0.2">
      <c r="A18" s="2">
        <v>16</v>
      </c>
      <c r="B18" s="2" t="s">
        <v>7</v>
      </c>
      <c r="C18" s="4" t="s">
        <v>24</v>
      </c>
      <c r="D18" s="4">
        <v>24.807700000000001</v>
      </c>
      <c r="E18">
        <v>7.7530000000000001</v>
      </c>
      <c r="F18" t="s">
        <v>21</v>
      </c>
      <c r="G18" t="s">
        <v>25</v>
      </c>
      <c r="H18" t="s">
        <v>23</v>
      </c>
    </row>
    <row r="19" spans="1:8" x14ac:dyDescent="0.2">
      <c r="A19" s="2">
        <v>17</v>
      </c>
      <c r="B19" s="2" t="s">
        <v>7</v>
      </c>
      <c r="C19" s="4" t="s">
        <v>26</v>
      </c>
      <c r="D19" s="4">
        <v>25.362500000000001</v>
      </c>
      <c r="E19">
        <v>2.2400000000000002</v>
      </c>
      <c r="F19" t="s">
        <v>9</v>
      </c>
      <c r="G19" t="s">
        <v>25</v>
      </c>
      <c r="H19" t="s">
        <v>23</v>
      </c>
    </row>
    <row r="20" spans="1:8" x14ac:dyDescent="0.2">
      <c r="A20" s="2">
        <v>18</v>
      </c>
      <c r="B20" s="2" t="s">
        <v>7</v>
      </c>
      <c r="C20" s="4" t="s">
        <v>26</v>
      </c>
      <c r="D20" s="4">
        <v>25.362500000000001</v>
      </c>
      <c r="E20">
        <v>2.35</v>
      </c>
      <c r="F20" t="s">
        <v>9</v>
      </c>
      <c r="G20" t="s">
        <v>25</v>
      </c>
      <c r="H20" t="s">
        <v>23</v>
      </c>
    </row>
    <row r="21" spans="1:8" x14ac:dyDescent="0.2">
      <c r="A21" s="2">
        <v>19</v>
      </c>
      <c r="B21" s="2" t="s">
        <v>7</v>
      </c>
      <c r="C21" s="4" t="s">
        <v>26</v>
      </c>
      <c r="D21" s="4">
        <v>25.362500000000001</v>
      </c>
      <c r="E21">
        <v>7.8000000000000014E-2</v>
      </c>
      <c r="F21" t="s">
        <v>9</v>
      </c>
      <c r="G21" t="s">
        <v>25</v>
      </c>
      <c r="H21" t="s">
        <v>23</v>
      </c>
    </row>
    <row r="22" spans="1:8" x14ac:dyDescent="0.2">
      <c r="A22" s="2">
        <v>20</v>
      </c>
      <c r="B22" s="2" t="s">
        <v>7</v>
      </c>
      <c r="C22" s="4" t="s">
        <v>26</v>
      </c>
      <c r="D22" s="4">
        <v>25.362500000000001</v>
      </c>
      <c r="E22">
        <v>0.378</v>
      </c>
      <c r="F22" t="s">
        <v>9</v>
      </c>
      <c r="G22" t="s">
        <v>25</v>
      </c>
      <c r="H22" t="s">
        <v>23</v>
      </c>
    </row>
    <row r="23" spans="1:8" x14ac:dyDescent="0.2">
      <c r="A23" s="2">
        <v>21</v>
      </c>
      <c r="B23" s="2" t="s">
        <v>14</v>
      </c>
      <c r="C23" s="4" t="s">
        <v>26</v>
      </c>
      <c r="D23" s="4">
        <v>25.362500000000001</v>
      </c>
      <c r="E23">
        <v>1.915</v>
      </c>
      <c r="F23" t="s">
        <v>16</v>
      </c>
      <c r="G23" t="s">
        <v>25</v>
      </c>
      <c r="H23" t="s">
        <v>23</v>
      </c>
    </row>
    <row r="24" spans="1:8" x14ac:dyDescent="0.2">
      <c r="A24" s="2">
        <v>22</v>
      </c>
      <c r="B24" s="2" t="s">
        <v>7</v>
      </c>
      <c r="C24" s="4" t="s">
        <v>26</v>
      </c>
      <c r="D24" s="4">
        <v>25.362500000000001</v>
      </c>
      <c r="E24">
        <v>8.93</v>
      </c>
      <c r="F24" t="s">
        <v>27</v>
      </c>
      <c r="G24" t="s">
        <v>25</v>
      </c>
      <c r="H24" t="s">
        <v>23</v>
      </c>
    </row>
    <row r="25" spans="1:8" x14ac:dyDescent="0.2">
      <c r="A25" s="2">
        <v>23</v>
      </c>
      <c r="B25" s="2" t="s">
        <v>7</v>
      </c>
      <c r="C25" s="4" t="s">
        <v>26</v>
      </c>
      <c r="D25" s="4">
        <v>25.362500000000001</v>
      </c>
      <c r="E25">
        <v>1.2709999999999999</v>
      </c>
      <c r="F25" t="s">
        <v>27</v>
      </c>
      <c r="G25" t="s">
        <v>25</v>
      </c>
      <c r="H25" t="s">
        <v>23</v>
      </c>
    </row>
    <row r="26" spans="1:8" x14ac:dyDescent="0.2">
      <c r="A26" s="2">
        <v>24</v>
      </c>
      <c r="B26" s="2" t="s">
        <v>7</v>
      </c>
      <c r="C26" s="4" t="s">
        <v>26</v>
      </c>
      <c r="D26" s="4">
        <v>25.362500000000001</v>
      </c>
      <c r="E26">
        <v>0.56999999999999995</v>
      </c>
      <c r="F26" t="s">
        <v>27</v>
      </c>
      <c r="G26" t="s">
        <v>25</v>
      </c>
      <c r="H26" t="s">
        <v>23</v>
      </c>
    </row>
    <row r="27" spans="1:8" x14ac:dyDescent="0.2">
      <c r="A27" s="2">
        <v>25</v>
      </c>
      <c r="B27" s="2" t="s">
        <v>7</v>
      </c>
      <c r="C27" s="4" t="s">
        <v>26</v>
      </c>
      <c r="D27" s="4">
        <v>25.362500000000001</v>
      </c>
      <c r="E27">
        <v>1.56</v>
      </c>
      <c r="F27" t="s">
        <v>27</v>
      </c>
      <c r="G27" t="s">
        <v>25</v>
      </c>
      <c r="H27" t="s">
        <v>23</v>
      </c>
    </row>
    <row r="28" spans="1:8" x14ac:dyDescent="0.2">
      <c r="A28" s="2">
        <v>26</v>
      </c>
      <c r="B28" s="2" t="s">
        <v>7</v>
      </c>
      <c r="C28" s="4" t="s">
        <v>26</v>
      </c>
      <c r="D28" s="4">
        <v>25.362500000000001</v>
      </c>
      <c r="E28">
        <v>0.56000000000000005</v>
      </c>
      <c r="F28" t="s">
        <v>27</v>
      </c>
      <c r="G28" t="s">
        <v>25</v>
      </c>
      <c r="H28" t="s">
        <v>23</v>
      </c>
    </row>
    <row r="29" spans="1:8" x14ac:dyDescent="0.2">
      <c r="A29" s="2">
        <v>27</v>
      </c>
      <c r="B29" s="2" t="s">
        <v>7</v>
      </c>
      <c r="C29" s="4" t="s">
        <v>28</v>
      </c>
      <c r="D29" s="4">
        <v>22.0703</v>
      </c>
      <c r="E29">
        <v>0.746</v>
      </c>
      <c r="F29" t="s">
        <v>9</v>
      </c>
      <c r="G29" t="s">
        <v>25</v>
      </c>
      <c r="H29" t="s">
        <v>23</v>
      </c>
    </row>
    <row r="30" spans="1:8" x14ac:dyDescent="0.2">
      <c r="A30" s="2">
        <v>28</v>
      </c>
      <c r="B30" s="2" t="s">
        <v>7</v>
      </c>
      <c r="C30" s="4" t="s">
        <v>28</v>
      </c>
      <c r="D30" s="4">
        <v>22.0703</v>
      </c>
      <c r="E30">
        <v>0.66200000000000003</v>
      </c>
      <c r="F30" t="s">
        <v>9</v>
      </c>
      <c r="G30" t="s">
        <v>25</v>
      </c>
      <c r="H30" t="s">
        <v>23</v>
      </c>
    </row>
    <row r="31" spans="1:8" x14ac:dyDescent="0.2">
      <c r="A31" s="2">
        <v>29</v>
      </c>
      <c r="B31" s="2" t="s">
        <v>14</v>
      </c>
      <c r="C31" s="4" t="s">
        <v>29</v>
      </c>
      <c r="D31" s="4">
        <v>18.802</v>
      </c>
      <c r="E31">
        <v>0.15</v>
      </c>
      <c r="F31" t="s">
        <v>27</v>
      </c>
      <c r="G31" t="s">
        <v>30</v>
      </c>
      <c r="H31" t="s">
        <v>23</v>
      </c>
    </row>
    <row r="32" spans="1:8" x14ac:dyDescent="0.2">
      <c r="A32" s="2">
        <v>30</v>
      </c>
      <c r="B32" s="2" t="s">
        <v>14</v>
      </c>
      <c r="C32" s="4" t="s">
        <v>29</v>
      </c>
      <c r="D32" s="4">
        <v>18.802</v>
      </c>
      <c r="E32">
        <v>0.15</v>
      </c>
      <c r="F32" t="s">
        <v>27</v>
      </c>
      <c r="G32" t="s">
        <v>30</v>
      </c>
      <c r="H32" t="s">
        <v>23</v>
      </c>
    </row>
    <row r="33" spans="1:8" x14ac:dyDescent="0.2">
      <c r="A33" s="2">
        <v>31</v>
      </c>
      <c r="B33" s="2" t="s">
        <v>7</v>
      </c>
      <c r="C33" s="4" t="s">
        <v>29</v>
      </c>
      <c r="D33" s="4">
        <v>18.802</v>
      </c>
      <c r="E33">
        <v>6.625</v>
      </c>
      <c r="F33" t="s">
        <v>9</v>
      </c>
      <c r="G33" t="s">
        <v>30</v>
      </c>
      <c r="H33" t="s">
        <v>23</v>
      </c>
    </row>
    <row r="34" spans="1:8" x14ac:dyDescent="0.2">
      <c r="A34" s="2">
        <v>32</v>
      </c>
      <c r="B34" s="2" t="s">
        <v>7</v>
      </c>
      <c r="C34" s="4" t="s">
        <v>29</v>
      </c>
      <c r="D34" s="4">
        <v>18.802</v>
      </c>
      <c r="E34">
        <v>0.86299999999999988</v>
      </c>
      <c r="F34" t="s">
        <v>9</v>
      </c>
      <c r="G34" t="s">
        <v>30</v>
      </c>
      <c r="H34" t="s">
        <v>23</v>
      </c>
    </row>
    <row r="35" spans="1:8" x14ac:dyDescent="0.2">
      <c r="A35" s="2">
        <v>33</v>
      </c>
      <c r="B35" s="2" t="s">
        <v>7</v>
      </c>
      <c r="C35" s="4" t="s">
        <v>29</v>
      </c>
      <c r="D35" s="4">
        <v>18.802</v>
      </c>
      <c r="E35">
        <v>0.85299999999999998</v>
      </c>
      <c r="F35" t="s">
        <v>12</v>
      </c>
      <c r="G35" t="s">
        <v>30</v>
      </c>
      <c r="H35" t="s">
        <v>23</v>
      </c>
    </row>
    <row r="36" spans="1:8" x14ac:dyDescent="0.2">
      <c r="A36" s="2">
        <v>34</v>
      </c>
      <c r="B36" s="2" t="s">
        <v>7</v>
      </c>
      <c r="C36" s="4" t="s">
        <v>29</v>
      </c>
      <c r="D36" s="4">
        <v>18.802</v>
      </c>
      <c r="E36">
        <v>0.44600000000000001</v>
      </c>
      <c r="F36" t="s">
        <v>12</v>
      </c>
      <c r="G36" t="s">
        <v>30</v>
      </c>
      <c r="H36" t="s">
        <v>23</v>
      </c>
    </row>
    <row r="37" spans="1:8" x14ac:dyDescent="0.2">
      <c r="A37" s="2">
        <v>35</v>
      </c>
      <c r="B37" s="2" t="s">
        <v>14</v>
      </c>
      <c r="C37" s="4" t="s">
        <v>31</v>
      </c>
      <c r="D37" s="4">
        <v>15.019</v>
      </c>
      <c r="E37">
        <v>1.8180000000000001</v>
      </c>
      <c r="F37" t="s">
        <v>16</v>
      </c>
      <c r="G37" t="s">
        <v>30</v>
      </c>
      <c r="H37" t="s">
        <v>20</v>
      </c>
    </row>
    <row r="38" spans="1:8" x14ac:dyDescent="0.2">
      <c r="A38" s="2">
        <v>36</v>
      </c>
      <c r="B38" s="2" t="s">
        <v>14</v>
      </c>
      <c r="C38" s="4" t="s">
        <v>32</v>
      </c>
      <c r="D38" s="4">
        <v>14.8354</v>
      </c>
      <c r="E38">
        <v>0.3</v>
      </c>
      <c r="F38" t="s">
        <v>16</v>
      </c>
      <c r="G38" t="s">
        <v>30</v>
      </c>
      <c r="H38" t="s">
        <v>20</v>
      </c>
    </row>
    <row r="39" spans="1:8" x14ac:dyDescent="0.2">
      <c r="A39" s="2">
        <v>37</v>
      </c>
      <c r="B39" s="2" t="s">
        <v>14</v>
      </c>
      <c r="C39" s="4" t="s">
        <v>32</v>
      </c>
      <c r="D39" s="4">
        <v>14.8354</v>
      </c>
      <c r="E39">
        <v>0.25</v>
      </c>
      <c r="F39" t="s">
        <v>16</v>
      </c>
      <c r="G39" t="s">
        <v>30</v>
      </c>
      <c r="H39" t="s">
        <v>20</v>
      </c>
    </row>
    <row r="40" spans="1:8" x14ac:dyDescent="0.2">
      <c r="A40" s="2">
        <v>38</v>
      </c>
      <c r="B40" s="2" t="s">
        <v>7</v>
      </c>
      <c r="C40" s="3" t="s">
        <v>33</v>
      </c>
      <c r="D40" s="3">
        <v>30.5626</v>
      </c>
      <c r="E40">
        <v>1.828913</v>
      </c>
      <c r="F40" t="s">
        <v>34</v>
      </c>
      <c r="G40" t="s">
        <v>10</v>
      </c>
      <c r="H40" t="s">
        <v>11</v>
      </c>
    </row>
    <row r="41" spans="1:8" x14ac:dyDescent="0.2">
      <c r="A41" s="2">
        <v>39</v>
      </c>
      <c r="B41" s="2" t="s">
        <v>7</v>
      </c>
      <c r="C41" s="3" t="s">
        <v>33</v>
      </c>
      <c r="D41" s="3">
        <v>30.5626</v>
      </c>
      <c r="E41">
        <v>0.72180299999999997</v>
      </c>
      <c r="F41" t="s">
        <v>34</v>
      </c>
      <c r="G41" t="s">
        <v>10</v>
      </c>
      <c r="H41" t="s">
        <v>11</v>
      </c>
    </row>
    <row r="42" spans="1:8" x14ac:dyDescent="0.2">
      <c r="A42" s="2">
        <v>40</v>
      </c>
      <c r="B42" s="2" t="s">
        <v>7</v>
      </c>
      <c r="C42" s="3" t="s">
        <v>33</v>
      </c>
      <c r="D42" s="3">
        <v>30.5626</v>
      </c>
      <c r="E42">
        <v>6.2573559999999997</v>
      </c>
      <c r="F42" t="s">
        <v>9</v>
      </c>
      <c r="G42" t="s">
        <v>10</v>
      </c>
      <c r="H42" t="s">
        <v>11</v>
      </c>
    </row>
  </sheetData>
  <autoFilter ref="B1:B42" xr:uid="{00000000-0009-0000-0000-000000000000}"/>
  <pageMargins left="0.78749999999999998" right="0.78749999999999998" top="1.052778" bottom="1.052778" header="0.78749999999999998" footer="0.78749999999999998"/>
  <pageSetup paperSize="9" orientation="portrait" cellComments="asDisplayed"/>
  <headerFooter>
    <oddHeader>&amp;C&amp;"Times New Roman"&amp;12&amp;A</oddHeader>
    <oddFooter>&amp;C&amp;"Times New Roman"&amp;12Страница &amp;P</oddFooter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9"/>
  <sheetViews>
    <sheetView zoomScale="125" workbookViewId="0">
      <selection activeCell="D1" sqref="D1:E1"/>
    </sheetView>
  </sheetViews>
  <sheetFormatPr baseColWidth="10" defaultColWidth="8.5" defaultRowHeight="15" x14ac:dyDescent="0.2"/>
  <cols>
    <col min="4" max="4" width="11.1640625" customWidth="1"/>
    <col min="14" max="14" width="22.83203125" customWidth="1"/>
    <col min="16" max="16" width="21.33203125" customWidth="1"/>
    <col min="1024" max="1024" width="9.1640625" customWidth="1"/>
  </cols>
  <sheetData>
    <row r="1" spans="1:17" x14ac:dyDescent="0.2">
      <c r="B1" s="8" t="s">
        <v>0</v>
      </c>
      <c r="C1" s="2" t="s">
        <v>35</v>
      </c>
      <c r="D1" s="8" t="s">
        <v>36</v>
      </c>
      <c r="E1" s="8" t="s">
        <v>37</v>
      </c>
      <c r="F1" s="2" t="s">
        <v>3</v>
      </c>
      <c r="G1" s="2" t="s">
        <v>38</v>
      </c>
      <c r="H1" s="8" t="s">
        <v>4</v>
      </c>
      <c r="I1" s="2" t="s">
        <v>1</v>
      </c>
      <c r="J1" s="2" t="s">
        <v>39</v>
      </c>
      <c r="K1" s="2" t="s">
        <v>40</v>
      </c>
      <c r="L1" s="8" t="s">
        <v>41</v>
      </c>
      <c r="M1" s="2" t="s">
        <v>42</v>
      </c>
      <c r="N1" s="2" t="s">
        <v>5</v>
      </c>
      <c r="O1" s="2" t="s">
        <v>2</v>
      </c>
      <c r="P1" s="2" t="s">
        <v>6</v>
      </c>
      <c r="Q1" s="2" t="s">
        <v>43</v>
      </c>
    </row>
    <row r="2" spans="1:17" x14ac:dyDescent="0.2">
      <c r="A2" s="2">
        <v>0</v>
      </c>
      <c r="B2" t="s">
        <v>7</v>
      </c>
      <c r="C2" t="s">
        <v>44</v>
      </c>
      <c r="D2">
        <v>895</v>
      </c>
      <c r="E2">
        <v>767</v>
      </c>
      <c r="F2">
        <v>711000</v>
      </c>
      <c r="H2" t="s">
        <v>45</v>
      </c>
      <c r="I2" t="s">
        <v>46</v>
      </c>
      <c r="J2">
        <v>41.514027777777699</v>
      </c>
      <c r="K2">
        <v>66.863888888888894</v>
      </c>
      <c r="L2">
        <v>1.4</v>
      </c>
      <c r="M2">
        <v>4.9770000000000013E-5</v>
      </c>
      <c r="N2" t="s">
        <v>10</v>
      </c>
      <c r="O2">
        <v>28.3506</v>
      </c>
      <c r="P2" t="s">
        <v>11</v>
      </c>
      <c r="Q2">
        <v>50</v>
      </c>
    </row>
    <row r="3" spans="1:17" x14ac:dyDescent="0.2">
      <c r="A3" s="2">
        <v>1</v>
      </c>
      <c r="B3" t="s">
        <v>7</v>
      </c>
      <c r="C3" t="s">
        <v>47</v>
      </c>
      <c r="D3">
        <v>789</v>
      </c>
      <c r="E3">
        <v>121</v>
      </c>
      <c r="F3">
        <v>226500</v>
      </c>
      <c r="G3" t="s">
        <v>48</v>
      </c>
      <c r="H3" t="s">
        <v>9</v>
      </c>
      <c r="I3" t="s">
        <v>46</v>
      </c>
      <c r="J3">
        <v>41.514027777777699</v>
      </c>
      <c r="K3">
        <v>66.863888888888894</v>
      </c>
      <c r="L3">
        <v>0.92300000000000004</v>
      </c>
      <c r="M3">
        <v>4.18119E-6</v>
      </c>
      <c r="N3" t="s">
        <v>10</v>
      </c>
      <c r="O3">
        <v>28.3506</v>
      </c>
      <c r="P3" t="s">
        <v>11</v>
      </c>
      <c r="Q3">
        <v>20</v>
      </c>
    </row>
    <row r="4" spans="1:17" x14ac:dyDescent="0.2">
      <c r="A4" s="2">
        <v>2</v>
      </c>
      <c r="B4" t="s">
        <v>7</v>
      </c>
      <c r="C4" t="s">
        <v>47</v>
      </c>
      <c r="D4">
        <v>776</v>
      </c>
      <c r="E4">
        <v>552</v>
      </c>
      <c r="F4">
        <v>478000</v>
      </c>
      <c r="G4" t="s">
        <v>49</v>
      </c>
      <c r="H4" t="s">
        <v>50</v>
      </c>
      <c r="I4" t="s">
        <v>46</v>
      </c>
      <c r="J4">
        <v>41.514027777777699</v>
      </c>
      <c r="K4">
        <v>66.863888888888894</v>
      </c>
      <c r="L4">
        <v>1.18</v>
      </c>
      <c r="M4">
        <v>8.4605999999999999E-6</v>
      </c>
      <c r="N4" t="s">
        <v>10</v>
      </c>
      <c r="O4">
        <v>28.3506</v>
      </c>
      <c r="P4" t="s">
        <v>11</v>
      </c>
      <c r="Q4">
        <v>15</v>
      </c>
    </row>
    <row r="5" spans="1:17" x14ac:dyDescent="0.2">
      <c r="A5" s="2">
        <v>3</v>
      </c>
      <c r="B5" t="s">
        <v>7</v>
      </c>
      <c r="C5" t="s">
        <v>51</v>
      </c>
      <c r="D5">
        <v>420</v>
      </c>
      <c r="E5">
        <v>37</v>
      </c>
      <c r="F5">
        <v>15000</v>
      </c>
      <c r="H5" t="s">
        <v>9</v>
      </c>
      <c r="I5" t="s">
        <v>52</v>
      </c>
      <c r="J5">
        <v>46.563749999999999</v>
      </c>
      <c r="K5">
        <v>69.372361111111104</v>
      </c>
      <c r="L5">
        <v>0.92300000000000004</v>
      </c>
      <c r="M5">
        <v>2.769E-7</v>
      </c>
      <c r="N5" t="s">
        <v>10</v>
      </c>
      <c r="O5">
        <v>33.042999999999999</v>
      </c>
      <c r="P5" t="s">
        <v>11</v>
      </c>
      <c r="Q5">
        <v>20</v>
      </c>
    </row>
    <row r="6" spans="1:17" x14ac:dyDescent="0.2">
      <c r="A6" s="2">
        <v>4</v>
      </c>
      <c r="B6" t="s">
        <v>14</v>
      </c>
      <c r="C6" t="s">
        <v>53</v>
      </c>
      <c r="D6">
        <v>914</v>
      </c>
      <c r="F6">
        <v>13710</v>
      </c>
      <c r="H6" t="s">
        <v>54</v>
      </c>
      <c r="I6" t="s">
        <v>55</v>
      </c>
      <c r="J6">
        <v>52.2470833333334</v>
      </c>
      <c r="K6">
        <v>69.877361111111199</v>
      </c>
      <c r="L6">
        <v>1.1599999999999999</v>
      </c>
      <c r="M6">
        <v>1.8735987347111501E-7</v>
      </c>
      <c r="N6" t="s">
        <v>10</v>
      </c>
      <c r="O6">
        <v>32.947299999999998</v>
      </c>
      <c r="P6" t="s">
        <v>11</v>
      </c>
      <c r="Q6">
        <v>15</v>
      </c>
    </row>
    <row r="7" spans="1:17" x14ac:dyDescent="0.2">
      <c r="A7" s="2">
        <v>5</v>
      </c>
      <c r="B7" t="s">
        <v>7</v>
      </c>
      <c r="C7" t="s">
        <v>56</v>
      </c>
      <c r="D7">
        <v>269</v>
      </c>
      <c r="E7">
        <v>47</v>
      </c>
      <c r="F7">
        <v>12000</v>
      </c>
      <c r="H7" t="s">
        <v>9</v>
      </c>
      <c r="I7" t="s">
        <v>57</v>
      </c>
      <c r="J7">
        <v>61.299722222222201</v>
      </c>
      <c r="K7">
        <v>71.532361111111101</v>
      </c>
      <c r="L7">
        <v>0.92300000000000004</v>
      </c>
      <c r="M7">
        <v>2.2151999999999999E-7</v>
      </c>
      <c r="N7" t="s">
        <v>17</v>
      </c>
      <c r="O7">
        <v>31.2744</v>
      </c>
      <c r="P7" t="s">
        <v>11</v>
      </c>
      <c r="Q7">
        <v>20</v>
      </c>
    </row>
    <row r="8" spans="1:17" x14ac:dyDescent="0.2">
      <c r="A8" s="2">
        <v>6</v>
      </c>
      <c r="B8" t="s">
        <v>14</v>
      </c>
      <c r="C8" t="s">
        <v>53</v>
      </c>
      <c r="D8">
        <v>3428</v>
      </c>
      <c r="F8">
        <v>51420</v>
      </c>
      <c r="H8" t="s">
        <v>58</v>
      </c>
      <c r="I8" t="s">
        <v>59</v>
      </c>
      <c r="J8">
        <v>64.848472222222298</v>
      </c>
      <c r="K8">
        <v>72.708472222222198</v>
      </c>
      <c r="L8">
        <v>1.4</v>
      </c>
      <c r="M8">
        <v>8.4808864479983201E-7</v>
      </c>
      <c r="N8" t="s">
        <v>17</v>
      </c>
      <c r="O8">
        <v>32.0548</v>
      </c>
      <c r="P8" t="s">
        <v>11</v>
      </c>
      <c r="Q8">
        <v>15</v>
      </c>
    </row>
    <row r="9" spans="1:17" x14ac:dyDescent="0.2">
      <c r="A9" s="2">
        <v>7</v>
      </c>
      <c r="B9" t="s">
        <v>14</v>
      </c>
      <c r="C9" t="s">
        <v>53</v>
      </c>
      <c r="D9">
        <v>1998</v>
      </c>
      <c r="F9">
        <v>29970</v>
      </c>
      <c r="H9" t="s">
        <v>58</v>
      </c>
      <c r="I9" t="s">
        <v>59</v>
      </c>
      <c r="J9">
        <v>64.848472222222298</v>
      </c>
      <c r="K9">
        <v>72.708472222222198</v>
      </c>
      <c r="L9">
        <v>1.4</v>
      </c>
      <c r="M9">
        <v>4.9430604209745196E-7</v>
      </c>
      <c r="N9" t="s">
        <v>17</v>
      </c>
      <c r="O9">
        <v>32.0548</v>
      </c>
      <c r="P9" t="s">
        <v>11</v>
      </c>
      <c r="Q9">
        <v>15</v>
      </c>
    </row>
    <row r="10" spans="1:17" x14ac:dyDescent="0.2">
      <c r="A10" s="2">
        <v>8</v>
      </c>
      <c r="B10" t="s">
        <v>7</v>
      </c>
      <c r="C10" t="s">
        <v>60</v>
      </c>
      <c r="D10">
        <v>339</v>
      </c>
      <c r="E10">
        <v>197</v>
      </c>
      <c r="F10">
        <v>27000</v>
      </c>
      <c r="H10" t="s">
        <v>21</v>
      </c>
      <c r="I10" t="s">
        <v>59</v>
      </c>
      <c r="J10">
        <v>64.848472222222298</v>
      </c>
      <c r="K10">
        <v>72.708472222222198</v>
      </c>
      <c r="L10">
        <v>1.1399999999999999</v>
      </c>
      <c r="M10">
        <v>1.2312E-6</v>
      </c>
      <c r="N10" t="s">
        <v>17</v>
      </c>
      <c r="O10">
        <v>32.0548</v>
      </c>
      <c r="P10" t="s">
        <v>11</v>
      </c>
      <c r="Q10">
        <v>40</v>
      </c>
    </row>
    <row r="11" spans="1:17" x14ac:dyDescent="0.2">
      <c r="A11" s="2">
        <v>9</v>
      </c>
      <c r="B11" t="s">
        <v>7</v>
      </c>
      <c r="C11" t="s">
        <v>51</v>
      </c>
      <c r="D11">
        <v>348</v>
      </c>
      <c r="E11">
        <v>156</v>
      </c>
      <c r="F11">
        <v>34000</v>
      </c>
      <c r="H11" t="s">
        <v>61</v>
      </c>
      <c r="I11" t="s">
        <v>62</v>
      </c>
      <c r="J11">
        <v>71.412083333333399</v>
      </c>
      <c r="K11">
        <v>73.787222222222297</v>
      </c>
      <c r="L11">
        <v>1.522</v>
      </c>
      <c r="M11">
        <v>1.55244E-6</v>
      </c>
      <c r="N11" t="s">
        <v>17</v>
      </c>
      <c r="O11">
        <v>16.061199999999999</v>
      </c>
      <c r="P11" t="s">
        <v>23</v>
      </c>
      <c r="Q11">
        <v>30</v>
      </c>
    </row>
    <row r="12" spans="1:17" x14ac:dyDescent="0.2">
      <c r="A12" s="2">
        <v>11</v>
      </c>
      <c r="B12" t="s">
        <v>14</v>
      </c>
      <c r="C12" t="s">
        <v>53</v>
      </c>
      <c r="D12">
        <v>1276</v>
      </c>
      <c r="F12">
        <v>19140</v>
      </c>
      <c r="H12" t="s">
        <v>21</v>
      </c>
      <c r="I12" t="s">
        <v>63</v>
      </c>
      <c r="J12">
        <v>75.889722222222304</v>
      </c>
      <c r="K12">
        <v>73.853194444444497</v>
      </c>
      <c r="L12">
        <v>1.1399999999999999</v>
      </c>
      <c r="M12">
        <v>2.5705610649100399E-7</v>
      </c>
      <c r="N12" t="s">
        <v>17</v>
      </c>
      <c r="O12">
        <v>17.374500000000001</v>
      </c>
      <c r="P12" t="s">
        <v>23</v>
      </c>
      <c r="Q12">
        <v>15</v>
      </c>
    </row>
    <row r="13" spans="1:17" x14ac:dyDescent="0.2">
      <c r="A13" s="2">
        <v>12</v>
      </c>
      <c r="B13" t="s">
        <v>14</v>
      </c>
      <c r="C13" t="s">
        <v>44</v>
      </c>
      <c r="D13">
        <v>437</v>
      </c>
      <c r="E13">
        <v>50</v>
      </c>
      <c r="F13">
        <v>21000</v>
      </c>
      <c r="H13" t="s">
        <v>19</v>
      </c>
      <c r="I13" t="s">
        <v>63</v>
      </c>
      <c r="J13">
        <v>75.889722222222304</v>
      </c>
      <c r="K13">
        <v>73.853194444444497</v>
      </c>
      <c r="L13">
        <v>0.94599999999999995</v>
      </c>
      <c r="M13">
        <v>7.3054163597587206E-8</v>
      </c>
      <c r="N13" t="s">
        <v>17</v>
      </c>
      <c r="O13">
        <v>17.374500000000001</v>
      </c>
      <c r="P13" t="s">
        <v>23</v>
      </c>
      <c r="Q13">
        <v>15</v>
      </c>
    </row>
    <row r="14" spans="1:17" x14ac:dyDescent="0.2">
      <c r="A14" s="2">
        <v>13</v>
      </c>
      <c r="B14" t="s">
        <v>14</v>
      </c>
      <c r="C14" t="s">
        <v>44</v>
      </c>
      <c r="D14">
        <v>304</v>
      </c>
      <c r="E14">
        <v>50</v>
      </c>
      <c r="F14">
        <v>15000</v>
      </c>
      <c r="H14" t="s">
        <v>19</v>
      </c>
      <c r="I14" t="s">
        <v>63</v>
      </c>
      <c r="J14">
        <v>75.889722222222304</v>
      </c>
      <c r="K14">
        <v>73.853194444444497</v>
      </c>
      <c r="L14">
        <v>0.94599999999999995</v>
      </c>
      <c r="M14">
        <v>5.0820287720060601E-8</v>
      </c>
      <c r="N14" t="s">
        <v>17</v>
      </c>
      <c r="O14">
        <v>17.374500000000001</v>
      </c>
      <c r="P14" t="s">
        <v>23</v>
      </c>
      <c r="Q14">
        <v>15</v>
      </c>
    </row>
    <row r="15" spans="1:17" x14ac:dyDescent="0.2">
      <c r="A15" s="2">
        <v>14</v>
      </c>
      <c r="B15" t="s">
        <v>14</v>
      </c>
      <c r="C15" t="s">
        <v>44</v>
      </c>
      <c r="D15">
        <v>622</v>
      </c>
      <c r="F15">
        <v>9330</v>
      </c>
      <c r="H15" t="s">
        <v>54</v>
      </c>
      <c r="I15" t="s">
        <v>64</v>
      </c>
      <c r="J15">
        <v>81.690194444444401</v>
      </c>
      <c r="K15">
        <v>74.4166666666667</v>
      </c>
      <c r="L15">
        <v>1.1599999999999999</v>
      </c>
      <c r="M15">
        <v>1.27503108642269E-7</v>
      </c>
      <c r="N15" t="s">
        <v>17</v>
      </c>
      <c r="O15">
        <v>15.498900000000001</v>
      </c>
      <c r="P15" t="s">
        <v>20</v>
      </c>
      <c r="Q15">
        <v>15</v>
      </c>
    </row>
    <row r="16" spans="1:17" x14ac:dyDescent="0.2">
      <c r="A16" s="2">
        <v>15</v>
      </c>
      <c r="B16" t="s">
        <v>14</v>
      </c>
      <c r="C16" t="s">
        <v>53</v>
      </c>
      <c r="D16">
        <v>895</v>
      </c>
      <c r="F16">
        <v>13425</v>
      </c>
      <c r="H16" t="s">
        <v>54</v>
      </c>
      <c r="I16" t="s">
        <v>64</v>
      </c>
      <c r="J16">
        <v>81.690194444444401</v>
      </c>
      <c r="K16">
        <v>74.4166666666667</v>
      </c>
      <c r="L16">
        <v>1.1599999999999999</v>
      </c>
      <c r="M16">
        <v>1.83465083978827E-7</v>
      </c>
      <c r="N16" t="s">
        <v>17</v>
      </c>
      <c r="O16">
        <v>15.498900000000001</v>
      </c>
      <c r="P16" t="s">
        <v>20</v>
      </c>
      <c r="Q16">
        <v>15</v>
      </c>
    </row>
    <row r="17" spans="1:17" x14ac:dyDescent="0.2">
      <c r="A17" s="2">
        <v>16</v>
      </c>
      <c r="B17" t="s">
        <v>14</v>
      </c>
      <c r="C17" t="s">
        <v>65</v>
      </c>
      <c r="D17">
        <v>636</v>
      </c>
      <c r="F17">
        <v>9540</v>
      </c>
      <c r="H17" t="s">
        <v>54</v>
      </c>
      <c r="I17" t="s">
        <v>64</v>
      </c>
      <c r="J17">
        <v>81.690194444444401</v>
      </c>
      <c r="K17">
        <v>74.4166666666667</v>
      </c>
      <c r="L17">
        <v>1.1599999999999999</v>
      </c>
      <c r="M17">
        <v>1.30372953531323E-7</v>
      </c>
      <c r="N17" t="s">
        <v>17</v>
      </c>
      <c r="O17">
        <v>15.498900000000001</v>
      </c>
      <c r="P17" t="s">
        <v>20</v>
      </c>
      <c r="Q17">
        <v>15</v>
      </c>
    </row>
    <row r="18" spans="1:17" x14ac:dyDescent="0.2">
      <c r="A18" s="2">
        <v>17</v>
      </c>
      <c r="B18" t="s">
        <v>14</v>
      </c>
      <c r="C18" t="s">
        <v>66</v>
      </c>
      <c r="D18">
        <v>1360</v>
      </c>
      <c r="F18">
        <v>20400</v>
      </c>
      <c r="H18" t="s">
        <v>54</v>
      </c>
      <c r="I18" t="s">
        <v>67</v>
      </c>
      <c r="J18">
        <v>92.399166666666602</v>
      </c>
      <c r="K18">
        <v>76.817333333333394</v>
      </c>
      <c r="L18">
        <v>1.1599999999999999</v>
      </c>
      <c r="M18">
        <v>2.78784932079558E-7</v>
      </c>
      <c r="N18" t="s">
        <v>17</v>
      </c>
      <c r="O18">
        <v>29.511199999999999</v>
      </c>
      <c r="P18" t="s">
        <v>68</v>
      </c>
      <c r="Q18">
        <v>15</v>
      </c>
    </row>
    <row r="19" spans="1:17" x14ac:dyDescent="0.2">
      <c r="A19" s="2">
        <v>18</v>
      </c>
      <c r="B19" t="s">
        <v>14</v>
      </c>
      <c r="C19" t="s">
        <v>53</v>
      </c>
      <c r="D19">
        <v>1033</v>
      </c>
      <c r="F19">
        <v>15495</v>
      </c>
      <c r="H19" t="s">
        <v>58</v>
      </c>
      <c r="I19" t="s">
        <v>67</v>
      </c>
      <c r="J19">
        <v>92.399166666666602</v>
      </c>
      <c r="K19">
        <v>76.817333333333394</v>
      </c>
      <c r="L19">
        <v>1.4</v>
      </c>
      <c r="M19">
        <v>2.5556463537871301E-7</v>
      </c>
      <c r="N19" t="s">
        <v>17</v>
      </c>
      <c r="O19">
        <v>29.511199999999999</v>
      </c>
      <c r="P19" t="s">
        <v>68</v>
      </c>
      <c r="Q19">
        <v>15</v>
      </c>
    </row>
    <row r="20" spans="1:17" x14ac:dyDescent="0.2">
      <c r="A20" s="2">
        <v>19</v>
      </c>
      <c r="B20" t="s">
        <v>14</v>
      </c>
      <c r="C20" t="s">
        <v>53</v>
      </c>
      <c r="D20">
        <v>565</v>
      </c>
      <c r="F20">
        <v>8475</v>
      </c>
      <c r="H20" t="s">
        <v>58</v>
      </c>
      <c r="I20" t="s">
        <v>67</v>
      </c>
      <c r="J20">
        <v>92.399166666666602</v>
      </c>
      <c r="K20">
        <v>76.817333333333394</v>
      </c>
      <c r="L20">
        <v>1.4</v>
      </c>
      <c r="M20">
        <v>1.3978123813066099E-7</v>
      </c>
      <c r="N20" t="s">
        <v>17</v>
      </c>
      <c r="O20">
        <v>29.511199999999999</v>
      </c>
      <c r="P20" t="s">
        <v>68</v>
      </c>
      <c r="Q20">
        <v>15</v>
      </c>
    </row>
    <row r="21" spans="1:17" x14ac:dyDescent="0.2">
      <c r="A21" s="2">
        <v>20</v>
      </c>
      <c r="B21" t="s">
        <v>7</v>
      </c>
      <c r="C21" t="s">
        <v>44</v>
      </c>
      <c r="D21">
        <v>707</v>
      </c>
      <c r="E21">
        <v>177</v>
      </c>
      <c r="F21">
        <v>129450</v>
      </c>
      <c r="G21" t="s">
        <v>49</v>
      </c>
      <c r="H21" t="s">
        <v>9</v>
      </c>
      <c r="I21" t="s">
        <v>67</v>
      </c>
      <c r="J21">
        <v>92.399166666666602</v>
      </c>
      <c r="K21">
        <v>76.817333333333394</v>
      </c>
      <c r="L21">
        <v>0.92300000000000004</v>
      </c>
      <c r="M21">
        <v>2.3896470000000002E-6</v>
      </c>
      <c r="N21" t="s">
        <v>17</v>
      </c>
      <c r="O21">
        <v>29.511199999999999</v>
      </c>
      <c r="P21" t="s">
        <v>68</v>
      </c>
      <c r="Q21">
        <v>20</v>
      </c>
    </row>
    <row r="22" spans="1:17" x14ac:dyDescent="0.2">
      <c r="A22" s="2">
        <v>21</v>
      </c>
      <c r="B22" t="s">
        <v>7</v>
      </c>
      <c r="C22" t="s">
        <v>60</v>
      </c>
      <c r="D22">
        <v>270</v>
      </c>
      <c r="E22">
        <v>266</v>
      </c>
      <c r="F22">
        <v>85700</v>
      </c>
      <c r="G22" t="s">
        <v>69</v>
      </c>
      <c r="H22" t="s">
        <v>70</v>
      </c>
      <c r="I22" t="s">
        <v>67</v>
      </c>
      <c r="J22">
        <v>92.399166666666602</v>
      </c>
      <c r="K22">
        <v>76.817333333333394</v>
      </c>
      <c r="L22">
        <v>2.2000000000000002</v>
      </c>
      <c r="M22">
        <v>9.4269999999999997E-6</v>
      </c>
      <c r="N22" t="s">
        <v>17</v>
      </c>
      <c r="O22">
        <v>29.511199999999999</v>
      </c>
      <c r="P22" t="s">
        <v>68</v>
      </c>
      <c r="Q22">
        <v>50</v>
      </c>
    </row>
    <row r="23" spans="1:17" x14ac:dyDescent="0.2">
      <c r="A23" s="2">
        <v>22</v>
      </c>
      <c r="B23" t="s">
        <v>7</v>
      </c>
      <c r="C23" t="s">
        <v>60</v>
      </c>
      <c r="D23">
        <v>569</v>
      </c>
      <c r="E23">
        <v>61</v>
      </c>
      <c r="F23">
        <v>34000</v>
      </c>
      <c r="H23" t="s">
        <v>70</v>
      </c>
      <c r="I23" t="s">
        <v>71</v>
      </c>
      <c r="J23">
        <v>98.401516666666694</v>
      </c>
      <c r="K23">
        <v>77.504083333333298</v>
      </c>
      <c r="L23">
        <v>2.2000000000000002</v>
      </c>
      <c r="M23">
        <v>2.9919999999999999E-6</v>
      </c>
      <c r="N23" t="s">
        <v>17</v>
      </c>
      <c r="O23">
        <v>29.923999999999999</v>
      </c>
      <c r="P23" t="s">
        <v>68</v>
      </c>
      <c r="Q23">
        <v>40</v>
      </c>
    </row>
    <row r="24" spans="1:17" x14ac:dyDescent="0.2">
      <c r="A24" s="2">
        <v>23</v>
      </c>
      <c r="B24" t="s">
        <v>7</v>
      </c>
      <c r="C24" t="s">
        <v>72</v>
      </c>
      <c r="D24">
        <v>763</v>
      </c>
      <c r="E24">
        <v>318</v>
      </c>
      <c r="F24">
        <v>100000</v>
      </c>
      <c r="H24" t="s">
        <v>73</v>
      </c>
      <c r="I24" t="s">
        <v>71</v>
      </c>
      <c r="J24">
        <v>98.401516666666694</v>
      </c>
      <c r="K24">
        <v>77.504083333333298</v>
      </c>
      <c r="L24">
        <v>1.41</v>
      </c>
      <c r="M24">
        <v>5.6400000000000002E-6</v>
      </c>
      <c r="N24" t="s">
        <v>17</v>
      </c>
      <c r="O24">
        <v>29.923999999999999</v>
      </c>
      <c r="P24" t="s">
        <v>68</v>
      </c>
      <c r="Q24">
        <v>40</v>
      </c>
    </row>
    <row r="25" spans="1:17" x14ac:dyDescent="0.2">
      <c r="A25" s="2">
        <v>24</v>
      </c>
      <c r="B25" t="s">
        <v>7</v>
      </c>
      <c r="C25" t="s">
        <v>72</v>
      </c>
      <c r="D25">
        <v>893</v>
      </c>
      <c r="E25">
        <v>130</v>
      </c>
      <c r="F25">
        <v>64000</v>
      </c>
      <c r="G25" t="s">
        <v>49</v>
      </c>
      <c r="H25" t="s">
        <v>9</v>
      </c>
      <c r="I25" t="s">
        <v>74</v>
      </c>
      <c r="J25">
        <v>102.44</v>
      </c>
      <c r="K25">
        <v>77.896233333333399</v>
      </c>
      <c r="L25">
        <v>0.92300000000000004</v>
      </c>
      <c r="M25">
        <v>1.1814400000000001E-6</v>
      </c>
      <c r="N25" t="s">
        <v>17</v>
      </c>
      <c r="O25">
        <v>33.997799999999998</v>
      </c>
      <c r="P25" t="s">
        <v>68</v>
      </c>
      <c r="Q25">
        <v>20</v>
      </c>
    </row>
    <row r="26" spans="1:17" x14ac:dyDescent="0.2">
      <c r="A26" s="2">
        <v>25</v>
      </c>
      <c r="B26" t="s">
        <v>7</v>
      </c>
      <c r="C26" t="s">
        <v>72</v>
      </c>
      <c r="D26">
        <v>667</v>
      </c>
      <c r="E26">
        <v>179</v>
      </c>
      <c r="F26">
        <v>100000</v>
      </c>
      <c r="G26" t="s">
        <v>49</v>
      </c>
      <c r="H26" t="s">
        <v>9</v>
      </c>
      <c r="I26" t="s">
        <v>74</v>
      </c>
      <c r="J26">
        <v>102.44</v>
      </c>
      <c r="K26">
        <v>77.896233333333399</v>
      </c>
      <c r="L26">
        <v>0.92300000000000004</v>
      </c>
      <c r="M26">
        <v>1.846E-6</v>
      </c>
      <c r="N26" t="s">
        <v>17</v>
      </c>
      <c r="O26">
        <v>33.997799999999998</v>
      </c>
      <c r="P26" t="s">
        <v>68</v>
      </c>
      <c r="Q26">
        <v>20</v>
      </c>
    </row>
    <row r="27" spans="1:17" x14ac:dyDescent="0.2">
      <c r="A27" s="2">
        <v>26</v>
      </c>
      <c r="B27" t="s">
        <v>7</v>
      </c>
      <c r="C27" t="s">
        <v>75</v>
      </c>
      <c r="D27">
        <v>204</v>
      </c>
      <c r="E27">
        <v>177</v>
      </c>
      <c r="F27">
        <v>12500</v>
      </c>
      <c r="H27" t="s">
        <v>61</v>
      </c>
      <c r="I27" t="s">
        <v>74</v>
      </c>
      <c r="J27">
        <v>102.44</v>
      </c>
      <c r="K27">
        <v>77.896233333333399</v>
      </c>
      <c r="L27">
        <v>1.522</v>
      </c>
      <c r="M27">
        <v>3.805E-7</v>
      </c>
      <c r="N27" t="s">
        <v>17</v>
      </c>
      <c r="O27">
        <v>33.997799999999998</v>
      </c>
      <c r="P27" t="s">
        <v>68</v>
      </c>
      <c r="Q27">
        <v>20</v>
      </c>
    </row>
    <row r="28" spans="1:17" x14ac:dyDescent="0.2">
      <c r="A28" s="2">
        <v>27</v>
      </c>
      <c r="B28" t="s">
        <v>14</v>
      </c>
      <c r="C28" t="s">
        <v>53</v>
      </c>
      <c r="D28">
        <v>344</v>
      </c>
      <c r="F28">
        <v>5160</v>
      </c>
      <c r="H28" t="s">
        <v>58</v>
      </c>
      <c r="I28" t="s">
        <v>76</v>
      </c>
      <c r="J28">
        <v>106.833958333334</v>
      </c>
      <c r="K28">
        <v>77.841416666666703</v>
      </c>
      <c r="L28">
        <v>1.4</v>
      </c>
      <c r="M28">
        <v>8.5105744985747502E-8</v>
      </c>
      <c r="N28" t="s">
        <v>30</v>
      </c>
      <c r="O28">
        <v>29.978200000000001</v>
      </c>
      <c r="P28" t="s">
        <v>68</v>
      </c>
      <c r="Q28">
        <v>15</v>
      </c>
    </row>
    <row r="29" spans="1:17" x14ac:dyDescent="0.2">
      <c r="A29" s="2">
        <v>28</v>
      </c>
      <c r="B29" t="s">
        <v>14</v>
      </c>
      <c r="C29" t="s">
        <v>53</v>
      </c>
      <c r="D29">
        <v>528</v>
      </c>
      <c r="F29">
        <v>7920</v>
      </c>
      <c r="H29" t="s">
        <v>58</v>
      </c>
      <c r="I29" t="s">
        <v>76</v>
      </c>
      <c r="J29">
        <v>106.833958333334</v>
      </c>
      <c r="K29">
        <v>77.841416666666703</v>
      </c>
      <c r="L29">
        <v>1.4</v>
      </c>
      <c r="M29">
        <v>1.3062742253626399E-7</v>
      </c>
      <c r="N29" t="s">
        <v>30</v>
      </c>
      <c r="O29">
        <v>29.978200000000001</v>
      </c>
      <c r="P29" t="s">
        <v>68</v>
      </c>
      <c r="Q29">
        <v>15</v>
      </c>
    </row>
    <row r="30" spans="1:17" x14ac:dyDescent="0.2">
      <c r="A30" s="2">
        <v>29</v>
      </c>
      <c r="B30" t="s">
        <v>14</v>
      </c>
      <c r="C30" t="s">
        <v>44</v>
      </c>
      <c r="D30">
        <v>465</v>
      </c>
      <c r="F30">
        <v>6975</v>
      </c>
      <c r="H30" t="s">
        <v>19</v>
      </c>
      <c r="I30" t="s">
        <v>76</v>
      </c>
      <c r="J30">
        <v>106.833958333334</v>
      </c>
      <c r="K30">
        <v>77.841416666666703</v>
      </c>
      <c r="L30">
        <v>0.94599999999999995</v>
      </c>
      <c r="M30">
        <v>7.7734979571803307E-8</v>
      </c>
      <c r="N30" t="s">
        <v>30</v>
      </c>
      <c r="O30">
        <v>29.978200000000001</v>
      </c>
      <c r="P30" t="s">
        <v>68</v>
      </c>
      <c r="Q30">
        <v>15</v>
      </c>
    </row>
    <row r="31" spans="1:17" x14ac:dyDescent="0.2">
      <c r="A31" s="2">
        <v>30</v>
      </c>
      <c r="B31" t="s">
        <v>7</v>
      </c>
      <c r="C31" t="s">
        <v>77</v>
      </c>
      <c r="D31">
        <v>456</v>
      </c>
      <c r="E31">
        <v>142</v>
      </c>
      <c r="F31">
        <v>33500</v>
      </c>
      <c r="G31" t="s">
        <v>49</v>
      </c>
      <c r="H31" t="s">
        <v>9</v>
      </c>
      <c r="I31" t="s">
        <v>76</v>
      </c>
      <c r="J31">
        <v>106.833958333334</v>
      </c>
      <c r="K31">
        <v>77.841416666666703</v>
      </c>
      <c r="L31">
        <v>0.92300000000000004</v>
      </c>
      <c r="M31">
        <v>6.1841000000000004E-7</v>
      </c>
      <c r="N31" t="s">
        <v>30</v>
      </c>
      <c r="O31">
        <v>29.978200000000001</v>
      </c>
      <c r="P31" t="s">
        <v>68</v>
      </c>
      <c r="Q31">
        <v>20</v>
      </c>
    </row>
    <row r="32" spans="1:17" x14ac:dyDescent="0.2">
      <c r="A32" s="2">
        <v>31</v>
      </c>
      <c r="B32" t="s">
        <v>14</v>
      </c>
      <c r="C32" t="s">
        <v>53</v>
      </c>
      <c r="D32">
        <v>1361</v>
      </c>
      <c r="F32">
        <v>20415</v>
      </c>
      <c r="H32" t="s">
        <v>54</v>
      </c>
      <c r="I32" t="s">
        <v>78</v>
      </c>
      <c r="J32">
        <v>112.61923333333399</v>
      </c>
      <c r="K32">
        <v>77.648174999999995</v>
      </c>
      <c r="L32">
        <v>1.1599999999999999</v>
      </c>
      <c r="M32">
        <v>2.78989921000205E-7</v>
      </c>
      <c r="N32" t="s">
        <v>30</v>
      </c>
      <c r="O32">
        <v>30.390599999999999</v>
      </c>
      <c r="P32" t="s">
        <v>68</v>
      </c>
      <c r="Q32">
        <v>15</v>
      </c>
    </row>
    <row r="33" spans="1:17" x14ac:dyDescent="0.2">
      <c r="A33" s="2">
        <v>32</v>
      </c>
      <c r="B33" t="s">
        <v>14</v>
      </c>
      <c r="C33" t="s">
        <v>53</v>
      </c>
      <c r="D33">
        <v>199</v>
      </c>
      <c r="F33">
        <v>2985</v>
      </c>
      <c r="H33" t="s">
        <v>58</v>
      </c>
      <c r="I33" t="s">
        <v>78</v>
      </c>
      <c r="J33">
        <v>112.61923333333399</v>
      </c>
      <c r="K33">
        <v>77.648174999999995</v>
      </c>
      <c r="L33">
        <v>1.4</v>
      </c>
      <c r="M33">
        <v>4.9232683872569002E-8</v>
      </c>
      <c r="N33" t="s">
        <v>30</v>
      </c>
      <c r="O33">
        <v>30.390599999999999</v>
      </c>
      <c r="P33" t="s">
        <v>68</v>
      </c>
      <c r="Q33">
        <v>15</v>
      </c>
    </row>
    <row r="34" spans="1:17" x14ac:dyDescent="0.2">
      <c r="A34" s="2">
        <v>33</v>
      </c>
      <c r="B34" t="s">
        <v>14</v>
      </c>
      <c r="C34" t="s">
        <v>53</v>
      </c>
      <c r="D34">
        <v>449</v>
      </c>
      <c r="F34">
        <v>6735</v>
      </c>
      <c r="H34" t="s">
        <v>21</v>
      </c>
      <c r="I34" t="s">
        <v>78</v>
      </c>
      <c r="J34">
        <v>112.61923333333399</v>
      </c>
      <c r="K34">
        <v>77.648174999999995</v>
      </c>
      <c r="L34">
        <v>1.1399999999999999</v>
      </c>
      <c r="M34">
        <v>9.0453128381239005E-8</v>
      </c>
      <c r="N34" t="s">
        <v>30</v>
      </c>
      <c r="O34">
        <v>30.390599999999999</v>
      </c>
      <c r="P34" t="s">
        <v>68</v>
      </c>
      <c r="Q34">
        <v>15</v>
      </c>
    </row>
    <row r="35" spans="1:17" x14ac:dyDescent="0.2">
      <c r="A35" s="2">
        <v>34</v>
      </c>
      <c r="B35" t="s">
        <v>7</v>
      </c>
      <c r="C35" t="s">
        <v>77</v>
      </c>
      <c r="D35">
        <v>211</v>
      </c>
      <c r="E35">
        <v>144</v>
      </c>
      <c r="F35">
        <v>27600</v>
      </c>
      <c r="H35" t="s">
        <v>61</v>
      </c>
      <c r="I35" t="s">
        <v>78</v>
      </c>
      <c r="J35">
        <v>112.61923333333399</v>
      </c>
      <c r="K35">
        <v>77.648174999999995</v>
      </c>
      <c r="L35">
        <v>1.522</v>
      </c>
      <c r="M35">
        <v>1.6802879999999999E-6</v>
      </c>
      <c r="N35" t="s">
        <v>30</v>
      </c>
      <c r="O35">
        <v>30.390599999999999</v>
      </c>
      <c r="P35" t="s">
        <v>68</v>
      </c>
      <c r="Q35">
        <v>40</v>
      </c>
    </row>
    <row r="36" spans="1:17" x14ac:dyDescent="0.2">
      <c r="A36" s="2">
        <v>35</v>
      </c>
      <c r="B36" t="s">
        <v>7</v>
      </c>
      <c r="C36" t="s">
        <v>51</v>
      </c>
      <c r="D36">
        <v>127</v>
      </c>
      <c r="E36">
        <v>88</v>
      </c>
      <c r="F36">
        <v>28400</v>
      </c>
      <c r="H36" t="s">
        <v>34</v>
      </c>
      <c r="I36" t="s">
        <v>78</v>
      </c>
      <c r="J36">
        <v>112.61923333333399</v>
      </c>
      <c r="K36">
        <v>77.648174999999995</v>
      </c>
      <c r="L36">
        <v>1.1000000000000001</v>
      </c>
      <c r="M36">
        <v>9.372E-7</v>
      </c>
      <c r="N36" t="s">
        <v>30</v>
      </c>
      <c r="O36">
        <v>30.390599999999999</v>
      </c>
      <c r="P36" t="s">
        <v>68</v>
      </c>
      <c r="Q36">
        <v>30</v>
      </c>
    </row>
    <row r="37" spans="1:17" x14ac:dyDescent="0.2">
      <c r="A37" s="2">
        <v>36</v>
      </c>
      <c r="B37" t="s">
        <v>14</v>
      </c>
      <c r="C37" t="s">
        <v>53</v>
      </c>
      <c r="D37">
        <v>1010</v>
      </c>
      <c r="F37">
        <v>15150</v>
      </c>
      <c r="H37" t="s">
        <v>54</v>
      </c>
      <c r="I37" t="s">
        <v>79</v>
      </c>
      <c r="J37">
        <v>118.639725</v>
      </c>
      <c r="K37">
        <v>77.363725000000002</v>
      </c>
      <c r="L37">
        <v>1.1599999999999999</v>
      </c>
      <c r="M37">
        <v>2.0703880985320099E-7</v>
      </c>
      <c r="N37" t="s">
        <v>30</v>
      </c>
      <c r="O37">
        <v>30.414300000000001</v>
      </c>
      <c r="P37" t="s">
        <v>68</v>
      </c>
      <c r="Q37">
        <v>15</v>
      </c>
    </row>
    <row r="38" spans="1:17" x14ac:dyDescent="0.2">
      <c r="A38" s="2">
        <v>37</v>
      </c>
      <c r="B38" t="s">
        <v>7</v>
      </c>
      <c r="C38" t="s">
        <v>80</v>
      </c>
      <c r="D38">
        <v>1039</v>
      </c>
      <c r="E38">
        <v>52</v>
      </c>
      <c r="F38">
        <v>75000</v>
      </c>
      <c r="H38" t="s">
        <v>19</v>
      </c>
      <c r="I38" t="s">
        <v>79</v>
      </c>
      <c r="J38">
        <v>118.639725</v>
      </c>
      <c r="K38">
        <v>77.363725000000002</v>
      </c>
      <c r="L38">
        <v>0.94599999999999995</v>
      </c>
      <c r="M38">
        <v>2.8380000000000002E-6</v>
      </c>
      <c r="N38" t="s">
        <v>30</v>
      </c>
      <c r="O38">
        <v>30.414300000000001</v>
      </c>
      <c r="P38" t="s">
        <v>68</v>
      </c>
      <c r="Q38">
        <v>40</v>
      </c>
    </row>
    <row r="39" spans="1:17" x14ac:dyDescent="0.2">
      <c r="A39" s="2">
        <v>38</v>
      </c>
      <c r="B39" t="s">
        <v>7</v>
      </c>
      <c r="C39" t="s">
        <v>60</v>
      </c>
      <c r="D39">
        <v>481</v>
      </c>
      <c r="E39">
        <v>326</v>
      </c>
      <c r="F39">
        <v>104490</v>
      </c>
      <c r="H39" t="s">
        <v>70</v>
      </c>
      <c r="I39" t="s">
        <v>79</v>
      </c>
      <c r="J39">
        <v>118.639725</v>
      </c>
      <c r="K39">
        <v>77.363725000000002</v>
      </c>
      <c r="L39">
        <v>2.2000000000000002</v>
      </c>
      <c r="M39">
        <v>1.1493900000000002E-5</v>
      </c>
      <c r="N39" t="s">
        <v>30</v>
      </c>
      <c r="O39">
        <v>30.414300000000001</v>
      </c>
      <c r="P39" t="s">
        <v>68</v>
      </c>
      <c r="Q39">
        <v>50</v>
      </c>
    </row>
    <row r="40" spans="1:17" x14ac:dyDescent="0.2">
      <c r="A40" s="2">
        <v>39</v>
      </c>
      <c r="B40" t="s">
        <v>7</v>
      </c>
      <c r="C40" t="s">
        <v>81</v>
      </c>
      <c r="D40">
        <v>372</v>
      </c>
      <c r="E40">
        <v>37</v>
      </c>
      <c r="F40">
        <v>13800</v>
      </c>
      <c r="H40" t="s">
        <v>34</v>
      </c>
      <c r="I40" t="s">
        <v>79</v>
      </c>
      <c r="J40">
        <v>118.639725</v>
      </c>
      <c r="K40">
        <v>77.363725000000002</v>
      </c>
      <c r="L40">
        <v>1.1000000000000001</v>
      </c>
      <c r="M40">
        <v>2.2770000000000001E-7</v>
      </c>
      <c r="N40" t="s">
        <v>30</v>
      </c>
      <c r="O40">
        <v>30.414300000000001</v>
      </c>
      <c r="P40" t="s">
        <v>68</v>
      </c>
      <c r="Q40">
        <v>15</v>
      </c>
    </row>
    <row r="41" spans="1:17" x14ac:dyDescent="0.2">
      <c r="A41" s="2">
        <v>40</v>
      </c>
      <c r="B41" t="s">
        <v>14</v>
      </c>
      <c r="C41" t="s">
        <v>53</v>
      </c>
      <c r="D41">
        <v>3661</v>
      </c>
      <c r="F41">
        <v>54915</v>
      </c>
      <c r="H41" t="s">
        <v>58</v>
      </c>
      <c r="I41" t="s">
        <v>82</v>
      </c>
      <c r="J41">
        <v>123.77163333333399</v>
      </c>
      <c r="K41">
        <v>76.986450000000005</v>
      </c>
      <c r="L41">
        <v>1.4</v>
      </c>
      <c r="M41">
        <v>9.0573294300238803E-7</v>
      </c>
      <c r="N41" t="s">
        <v>30</v>
      </c>
      <c r="O41">
        <v>28.502199999999998</v>
      </c>
      <c r="P41" t="s">
        <v>68</v>
      </c>
      <c r="Q41">
        <v>15</v>
      </c>
    </row>
    <row r="42" spans="1:17" x14ac:dyDescent="0.2">
      <c r="A42" s="2">
        <v>41</v>
      </c>
      <c r="B42" t="s">
        <v>14</v>
      </c>
      <c r="C42" t="s">
        <v>53</v>
      </c>
      <c r="D42">
        <v>925</v>
      </c>
      <c r="F42">
        <v>13875</v>
      </c>
      <c r="H42" t="s">
        <v>58</v>
      </c>
      <c r="I42" t="s">
        <v>82</v>
      </c>
      <c r="J42">
        <v>123.77163333333399</v>
      </c>
      <c r="K42">
        <v>76.986450000000005</v>
      </c>
      <c r="L42">
        <v>1.4</v>
      </c>
      <c r="M42">
        <v>2.28845389859931E-7</v>
      </c>
      <c r="N42" t="s">
        <v>30</v>
      </c>
      <c r="O42">
        <v>28.502199999999998</v>
      </c>
      <c r="P42" t="s">
        <v>68</v>
      </c>
      <c r="Q42">
        <v>15</v>
      </c>
    </row>
    <row r="43" spans="1:17" x14ac:dyDescent="0.2">
      <c r="A43" s="2">
        <v>42</v>
      </c>
      <c r="B43" t="s">
        <v>14</v>
      </c>
      <c r="C43" t="s">
        <v>53</v>
      </c>
      <c r="D43">
        <v>455</v>
      </c>
      <c r="F43">
        <v>6825</v>
      </c>
      <c r="H43" t="s">
        <v>58</v>
      </c>
      <c r="I43" t="s">
        <v>82</v>
      </c>
      <c r="J43">
        <v>123.77163333333399</v>
      </c>
      <c r="K43">
        <v>76.986450000000005</v>
      </c>
      <c r="L43">
        <v>1.4</v>
      </c>
      <c r="M43">
        <v>1.1256719176893899E-7</v>
      </c>
      <c r="N43" t="s">
        <v>30</v>
      </c>
      <c r="O43">
        <v>28.502199999999998</v>
      </c>
      <c r="P43" t="s">
        <v>68</v>
      </c>
      <c r="Q43">
        <v>15</v>
      </c>
    </row>
    <row r="44" spans="1:17" x14ac:dyDescent="0.2">
      <c r="A44" s="2">
        <v>43</v>
      </c>
      <c r="B44" t="s">
        <v>14</v>
      </c>
      <c r="C44" t="s">
        <v>83</v>
      </c>
      <c r="D44">
        <v>1864</v>
      </c>
      <c r="F44">
        <v>27960</v>
      </c>
      <c r="H44" t="s">
        <v>58</v>
      </c>
      <c r="I44" t="s">
        <v>84</v>
      </c>
      <c r="J44">
        <v>129.10159166666699</v>
      </c>
      <c r="K44">
        <v>76.841641666666703</v>
      </c>
      <c r="L44">
        <v>1.4</v>
      </c>
      <c r="M44">
        <v>4.6115438562044602E-7</v>
      </c>
      <c r="N44" t="s">
        <v>30</v>
      </c>
      <c r="O44">
        <v>30.496500000000001</v>
      </c>
      <c r="P44" t="s">
        <v>68</v>
      </c>
      <c r="Q44">
        <v>15</v>
      </c>
    </row>
    <row r="45" spans="1:17" x14ac:dyDescent="0.2">
      <c r="A45" s="2">
        <v>44</v>
      </c>
      <c r="B45" t="s">
        <v>7</v>
      </c>
      <c r="C45" t="s">
        <v>72</v>
      </c>
      <c r="D45">
        <v>923</v>
      </c>
      <c r="E45">
        <v>344</v>
      </c>
      <c r="F45">
        <v>270000</v>
      </c>
      <c r="G45" t="s">
        <v>49</v>
      </c>
      <c r="H45" t="s">
        <v>9</v>
      </c>
      <c r="I45" t="s">
        <v>85</v>
      </c>
      <c r="J45">
        <v>136.47906666666699</v>
      </c>
      <c r="K45">
        <v>76.864658333333395</v>
      </c>
      <c r="L45">
        <v>0.92300000000000004</v>
      </c>
      <c r="M45">
        <v>4.9841999999999996E-6</v>
      </c>
      <c r="N45" t="s">
        <v>30</v>
      </c>
      <c r="O45">
        <v>24.934100000000001</v>
      </c>
      <c r="P45" t="s">
        <v>23</v>
      </c>
      <c r="Q45">
        <v>20</v>
      </c>
    </row>
    <row r="46" spans="1:17" x14ac:dyDescent="0.2">
      <c r="A46" s="2">
        <v>45</v>
      </c>
      <c r="B46" t="s">
        <v>14</v>
      </c>
      <c r="C46" t="s">
        <v>86</v>
      </c>
      <c r="D46">
        <v>403</v>
      </c>
      <c r="F46">
        <v>6045</v>
      </c>
      <c r="H46" t="s">
        <v>54</v>
      </c>
      <c r="I46" t="s">
        <v>87</v>
      </c>
      <c r="J46">
        <v>144.51466666666701</v>
      </c>
      <c r="K46">
        <v>76.712225000000004</v>
      </c>
      <c r="L46">
        <v>1.1599999999999999</v>
      </c>
      <c r="M46">
        <v>8.2610535020633794E-8</v>
      </c>
      <c r="N46" t="s">
        <v>25</v>
      </c>
      <c r="O46">
        <v>20.5382</v>
      </c>
      <c r="P46" t="s">
        <v>23</v>
      </c>
      <c r="Q46">
        <v>15</v>
      </c>
    </row>
    <row r="47" spans="1:17" x14ac:dyDescent="0.2">
      <c r="A47" s="2">
        <v>46</v>
      </c>
      <c r="B47" t="s">
        <v>14</v>
      </c>
      <c r="C47" t="s">
        <v>86</v>
      </c>
      <c r="D47">
        <v>366</v>
      </c>
      <c r="F47">
        <v>5490</v>
      </c>
      <c r="H47" t="s">
        <v>54</v>
      </c>
      <c r="I47" t="s">
        <v>87</v>
      </c>
      <c r="J47">
        <v>144.51466666666701</v>
      </c>
      <c r="K47">
        <v>76.712225000000004</v>
      </c>
      <c r="L47">
        <v>1.1599999999999999</v>
      </c>
      <c r="M47">
        <v>7.5025944956704598E-8</v>
      </c>
      <c r="N47" t="s">
        <v>25</v>
      </c>
      <c r="O47">
        <v>20.5382</v>
      </c>
      <c r="P47" t="s">
        <v>23</v>
      </c>
      <c r="Q47">
        <v>15</v>
      </c>
    </row>
    <row r="48" spans="1:17" x14ac:dyDescent="0.2">
      <c r="A48" s="2">
        <v>47</v>
      </c>
      <c r="B48" t="s">
        <v>14</v>
      </c>
      <c r="C48" t="s">
        <v>86</v>
      </c>
      <c r="D48">
        <v>199</v>
      </c>
      <c r="F48">
        <v>2985</v>
      </c>
      <c r="H48" t="s">
        <v>54</v>
      </c>
      <c r="I48" t="s">
        <v>87</v>
      </c>
      <c r="J48">
        <v>144.51466666666701</v>
      </c>
      <c r="K48">
        <v>76.712225000000004</v>
      </c>
      <c r="L48">
        <v>1.1599999999999999</v>
      </c>
      <c r="M48">
        <v>4.0792795208700101E-8</v>
      </c>
      <c r="N48" t="s">
        <v>25</v>
      </c>
      <c r="O48">
        <v>20.5382</v>
      </c>
      <c r="P48" t="s">
        <v>23</v>
      </c>
      <c r="Q48">
        <v>15</v>
      </c>
    </row>
    <row r="49" spans="1:17" x14ac:dyDescent="0.2">
      <c r="A49" s="2">
        <v>48</v>
      </c>
      <c r="B49" t="s">
        <v>14</v>
      </c>
      <c r="C49" t="s">
        <v>86</v>
      </c>
      <c r="D49">
        <v>1437</v>
      </c>
      <c r="F49">
        <v>21555</v>
      </c>
      <c r="H49" t="s">
        <v>54</v>
      </c>
      <c r="I49" t="s">
        <v>87</v>
      </c>
      <c r="J49">
        <v>144.51466666666701</v>
      </c>
      <c r="K49">
        <v>76.712225000000004</v>
      </c>
      <c r="L49">
        <v>1.1599999999999999</v>
      </c>
      <c r="M49">
        <v>2.9456907896935701E-7</v>
      </c>
      <c r="N49" t="s">
        <v>25</v>
      </c>
      <c r="O49">
        <v>20.5382</v>
      </c>
      <c r="P49" t="s">
        <v>23</v>
      </c>
      <c r="Q49">
        <v>15</v>
      </c>
    </row>
    <row r="50" spans="1:17" x14ac:dyDescent="0.2">
      <c r="A50" s="2">
        <v>49</v>
      </c>
      <c r="B50" t="s">
        <v>14</v>
      </c>
      <c r="C50" t="s">
        <v>86</v>
      </c>
      <c r="D50">
        <v>459</v>
      </c>
      <c r="F50">
        <v>6885</v>
      </c>
      <c r="H50" t="s">
        <v>19</v>
      </c>
      <c r="I50" t="s">
        <v>88</v>
      </c>
      <c r="J50">
        <v>148.67060000000001</v>
      </c>
      <c r="K50">
        <v>76.683633333333304</v>
      </c>
      <c r="L50">
        <v>0.94599999999999995</v>
      </c>
      <c r="M50">
        <v>7.67319475773284E-8</v>
      </c>
      <c r="N50" t="s">
        <v>25</v>
      </c>
      <c r="O50">
        <v>25.003699999999998</v>
      </c>
      <c r="P50" t="s">
        <v>23</v>
      </c>
      <c r="Q50">
        <v>15</v>
      </c>
    </row>
    <row r="51" spans="1:17" x14ac:dyDescent="0.2">
      <c r="A51" s="2">
        <v>50</v>
      </c>
      <c r="B51" t="s">
        <v>7</v>
      </c>
      <c r="C51" t="s">
        <v>60</v>
      </c>
      <c r="D51">
        <v>500</v>
      </c>
      <c r="E51">
        <v>47</v>
      </c>
      <c r="F51">
        <v>11000</v>
      </c>
      <c r="H51" t="s">
        <v>50</v>
      </c>
      <c r="I51" t="s">
        <v>88</v>
      </c>
      <c r="J51">
        <v>148.67060000000001</v>
      </c>
      <c r="K51">
        <v>76.683633333333304</v>
      </c>
      <c r="L51">
        <v>1.18</v>
      </c>
      <c r="M51">
        <v>2.5960000000000002E-7</v>
      </c>
      <c r="N51" t="s">
        <v>25</v>
      </c>
      <c r="O51">
        <v>25.003699999999998</v>
      </c>
      <c r="P51" t="s">
        <v>23</v>
      </c>
      <c r="Q51">
        <v>20</v>
      </c>
    </row>
    <row r="52" spans="1:17" x14ac:dyDescent="0.2">
      <c r="A52" s="2">
        <v>51</v>
      </c>
      <c r="B52" t="s">
        <v>7</v>
      </c>
      <c r="C52" t="s">
        <v>89</v>
      </c>
      <c r="D52">
        <v>203</v>
      </c>
      <c r="E52">
        <v>155</v>
      </c>
      <c r="F52">
        <v>25000</v>
      </c>
      <c r="H52" t="s">
        <v>34</v>
      </c>
      <c r="I52" t="s">
        <v>88</v>
      </c>
      <c r="J52">
        <v>148.67060000000001</v>
      </c>
      <c r="K52">
        <v>76.683633333333304</v>
      </c>
      <c r="L52">
        <v>1.1000000000000001</v>
      </c>
      <c r="M52">
        <v>8.2500000000000004E-7</v>
      </c>
      <c r="N52" t="s">
        <v>25</v>
      </c>
      <c r="O52">
        <v>25.003699999999998</v>
      </c>
      <c r="P52" t="s">
        <v>23</v>
      </c>
      <c r="Q52">
        <v>30</v>
      </c>
    </row>
    <row r="53" spans="1:17" x14ac:dyDescent="0.2">
      <c r="A53" s="2">
        <v>52</v>
      </c>
      <c r="B53" t="s">
        <v>14</v>
      </c>
      <c r="C53" t="s">
        <v>53</v>
      </c>
      <c r="D53" s="7">
        <v>5239</v>
      </c>
      <c r="F53">
        <v>78585</v>
      </c>
      <c r="H53" t="s">
        <v>58</v>
      </c>
      <c r="I53" t="s">
        <v>90</v>
      </c>
      <c r="J53">
        <v>148.97400833333299</v>
      </c>
      <c r="K53">
        <v>76.679591666666695</v>
      </c>
      <c r="L53">
        <v>1.4</v>
      </c>
      <c r="M53">
        <v>1.2961308080823601E-6</v>
      </c>
      <c r="N53" t="s">
        <v>25</v>
      </c>
      <c r="O53">
        <v>25.1341</v>
      </c>
      <c r="P53" t="s">
        <v>23</v>
      </c>
      <c r="Q53">
        <v>15</v>
      </c>
    </row>
    <row r="54" spans="1:17" x14ac:dyDescent="0.2">
      <c r="A54" s="2">
        <v>53</v>
      </c>
      <c r="B54" t="s">
        <v>7</v>
      </c>
      <c r="C54" t="s">
        <v>80</v>
      </c>
      <c r="D54">
        <v>309</v>
      </c>
      <c r="E54">
        <v>309</v>
      </c>
      <c r="F54">
        <v>61000</v>
      </c>
      <c r="G54" t="s">
        <v>49</v>
      </c>
      <c r="H54" t="s">
        <v>9</v>
      </c>
      <c r="I54" t="s">
        <v>90</v>
      </c>
      <c r="J54">
        <v>148.97400833333299</v>
      </c>
      <c r="K54">
        <v>76.679591666666695</v>
      </c>
      <c r="L54">
        <v>0.92300000000000004</v>
      </c>
      <c r="M54">
        <v>1.1260600000000001E-6</v>
      </c>
      <c r="N54" t="s">
        <v>25</v>
      </c>
      <c r="O54">
        <v>25.1341</v>
      </c>
      <c r="P54" t="s">
        <v>23</v>
      </c>
      <c r="Q54">
        <v>20</v>
      </c>
    </row>
    <row r="55" spans="1:17" x14ac:dyDescent="0.2">
      <c r="A55" s="2">
        <v>54</v>
      </c>
      <c r="B55" t="s">
        <v>14</v>
      </c>
      <c r="C55" t="s">
        <v>53</v>
      </c>
      <c r="D55" s="7">
        <v>5239</v>
      </c>
      <c r="F55">
        <v>78585</v>
      </c>
      <c r="H55" t="s">
        <v>54</v>
      </c>
      <c r="I55" t="s">
        <v>91</v>
      </c>
      <c r="J55">
        <v>151.647066666667</v>
      </c>
      <c r="K55">
        <v>76.455466666666695</v>
      </c>
      <c r="L55">
        <v>1.1599999999999999</v>
      </c>
      <c r="M55">
        <v>1.07393695526824E-6</v>
      </c>
      <c r="N55" t="s">
        <v>25</v>
      </c>
      <c r="O55">
        <v>24.880700000000001</v>
      </c>
      <c r="P55" t="s">
        <v>23</v>
      </c>
      <c r="Q55">
        <v>15</v>
      </c>
    </row>
    <row r="56" spans="1:17" x14ac:dyDescent="0.2">
      <c r="A56" s="2">
        <v>55</v>
      </c>
      <c r="B56" t="s">
        <v>14</v>
      </c>
      <c r="C56" t="s">
        <v>53</v>
      </c>
      <c r="D56">
        <v>2177</v>
      </c>
      <c r="F56">
        <v>32655</v>
      </c>
      <c r="H56" t="s">
        <v>54</v>
      </c>
      <c r="I56" t="s">
        <v>92</v>
      </c>
      <c r="J56">
        <v>156.52883333333401</v>
      </c>
      <c r="K56">
        <v>75.872699999999995</v>
      </c>
      <c r="L56">
        <v>1.1599999999999999</v>
      </c>
      <c r="M56">
        <v>4.4626088024793998E-7</v>
      </c>
      <c r="N56" t="s">
        <v>25</v>
      </c>
      <c r="O56">
        <v>21.765000000000001</v>
      </c>
      <c r="P56" t="s">
        <v>23</v>
      </c>
      <c r="Q56">
        <v>15</v>
      </c>
    </row>
    <row r="57" spans="1:17" x14ac:dyDescent="0.2">
      <c r="A57" s="2">
        <v>56</v>
      </c>
      <c r="B57" t="s">
        <v>7</v>
      </c>
      <c r="C57" t="s">
        <v>86</v>
      </c>
      <c r="D57">
        <v>240</v>
      </c>
      <c r="E57">
        <v>51</v>
      </c>
      <c r="F57">
        <v>12200</v>
      </c>
      <c r="H57" t="s">
        <v>21</v>
      </c>
      <c r="I57" t="s">
        <v>93</v>
      </c>
      <c r="J57">
        <v>159.79753333333301</v>
      </c>
      <c r="K57">
        <v>75.222366666666602</v>
      </c>
      <c r="L57">
        <v>1.1399999999999999</v>
      </c>
      <c r="M57">
        <v>2.7816E-7</v>
      </c>
      <c r="N57" t="s">
        <v>25</v>
      </c>
      <c r="O57">
        <v>24.8977</v>
      </c>
      <c r="P57" t="s">
        <v>23</v>
      </c>
      <c r="Q57">
        <v>20</v>
      </c>
    </row>
    <row r="58" spans="1:17" x14ac:dyDescent="0.2">
      <c r="A58" s="2">
        <v>57</v>
      </c>
      <c r="B58" t="s">
        <v>14</v>
      </c>
      <c r="C58" t="s">
        <v>83</v>
      </c>
      <c r="D58">
        <v>229</v>
      </c>
      <c r="F58">
        <v>3435</v>
      </c>
      <c r="H58" t="s">
        <v>54</v>
      </c>
      <c r="I58" t="s">
        <v>94</v>
      </c>
      <c r="J58">
        <v>160.74385000000001</v>
      </c>
      <c r="K58">
        <v>74.941566666666702</v>
      </c>
      <c r="L58">
        <v>1.1599999999999999</v>
      </c>
      <c r="M58">
        <v>4.6942462828102098E-8</v>
      </c>
      <c r="N58" t="s">
        <v>25</v>
      </c>
      <c r="O58">
        <v>26.012799999999999</v>
      </c>
      <c r="P58" t="s">
        <v>23</v>
      </c>
      <c r="Q58">
        <v>15</v>
      </c>
    </row>
    <row r="59" spans="1:17" x14ac:dyDescent="0.2">
      <c r="A59" s="2">
        <v>58</v>
      </c>
      <c r="B59" t="s">
        <v>7</v>
      </c>
      <c r="C59" t="s">
        <v>60</v>
      </c>
      <c r="D59">
        <v>435</v>
      </c>
      <c r="E59">
        <v>156</v>
      </c>
      <c r="F59">
        <v>60000</v>
      </c>
      <c r="H59" t="s">
        <v>70</v>
      </c>
      <c r="I59" t="s">
        <v>95</v>
      </c>
      <c r="J59">
        <v>163.16307499999999</v>
      </c>
      <c r="K59">
        <v>74.921583333333402</v>
      </c>
      <c r="L59">
        <v>2.2000000000000002</v>
      </c>
      <c r="M59">
        <v>5.2800000000000003E-6</v>
      </c>
      <c r="N59" t="s">
        <v>25</v>
      </c>
      <c r="O59">
        <v>26.0442</v>
      </c>
      <c r="P59" t="s">
        <v>23</v>
      </c>
      <c r="Q59">
        <v>40</v>
      </c>
    </row>
    <row r="60" spans="1:17" x14ac:dyDescent="0.2">
      <c r="A60" s="2">
        <v>59</v>
      </c>
      <c r="B60" t="s">
        <v>14</v>
      </c>
      <c r="C60" t="s">
        <v>53</v>
      </c>
      <c r="D60">
        <v>284</v>
      </c>
      <c r="F60">
        <v>4260</v>
      </c>
      <c r="H60" t="s">
        <v>58</v>
      </c>
      <c r="I60" t="s">
        <v>96</v>
      </c>
      <c r="J60">
        <v>160.85696666666701</v>
      </c>
      <c r="K60">
        <v>74.919049999999999</v>
      </c>
      <c r="L60">
        <v>1.4</v>
      </c>
      <c r="M60">
        <v>7.0261719697535706E-8</v>
      </c>
      <c r="N60" t="s">
        <v>25</v>
      </c>
      <c r="O60">
        <v>25.889099999999999</v>
      </c>
      <c r="P60" t="s">
        <v>23</v>
      </c>
      <c r="Q60">
        <v>15</v>
      </c>
    </row>
    <row r="61" spans="1:17" x14ac:dyDescent="0.2">
      <c r="A61" s="2">
        <v>60</v>
      </c>
      <c r="B61" t="s">
        <v>14</v>
      </c>
      <c r="C61" t="s">
        <v>53</v>
      </c>
      <c r="D61">
        <v>260</v>
      </c>
      <c r="F61">
        <v>3900</v>
      </c>
      <c r="H61" t="s">
        <v>58</v>
      </c>
      <c r="I61" t="s">
        <v>96</v>
      </c>
      <c r="J61">
        <v>160.85696666666701</v>
      </c>
      <c r="K61">
        <v>74.919049999999999</v>
      </c>
      <c r="L61">
        <v>1.4</v>
      </c>
      <c r="M61">
        <v>6.4324109582251003E-8</v>
      </c>
      <c r="N61" t="s">
        <v>25</v>
      </c>
      <c r="O61">
        <v>25.889099999999999</v>
      </c>
      <c r="P61" t="s">
        <v>23</v>
      </c>
      <c r="Q61">
        <v>15</v>
      </c>
    </row>
    <row r="62" spans="1:17" x14ac:dyDescent="0.2">
      <c r="A62" s="2">
        <v>61</v>
      </c>
      <c r="B62" t="s">
        <v>14</v>
      </c>
      <c r="C62" t="s">
        <v>53</v>
      </c>
      <c r="D62" s="7">
        <v>5211</v>
      </c>
      <c r="F62">
        <v>78165</v>
      </c>
      <c r="H62" t="s">
        <v>58</v>
      </c>
      <c r="I62" t="s">
        <v>97</v>
      </c>
      <c r="J62">
        <v>160.87503333333399</v>
      </c>
      <c r="K62">
        <v>74.922316666666603</v>
      </c>
      <c r="L62">
        <v>1.4</v>
      </c>
      <c r="M62">
        <v>1.2892035962811899E-6</v>
      </c>
      <c r="N62" t="s">
        <v>25</v>
      </c>
      <c r="O62">
        <v>25.947800000000001</v>
      </c>
      <c r="P62" t="s">
        <v>23</v>
      </c>
      <c r="Q62">
        <v>15</v>
      </c>
    </row>
    <row r="63" spans="1:17" x14ac:dyDescent="0.2">
      <c r="A63" s="2">
        <v>62</v>
      </c>
      <c r="B63" t="s">
        <v>14</v>
      </c>
      <c r="C63" t="s">
        <v>53</v>
      </c>
      <c r="D63">
        <v>955</v>
      </c>
      <c r="F63">
        <v>14325</v>
      </c>
      <c r="H63" t="s">
        <v>58</v>
      </c>
      <c r="I63" t="s">
        <v>98</v>
      </c>
      <c r="J63">
        <v>160.94493333333301</v>
      </c>
      <c r="K63">
        <v>74.911966666666601</v>
      </c>
      <c r="L63">
        <v>1.4</v>
      </c>
      <c r="M63">
        <v>2.36267402504037E-7</v>
      </c>
      <c r="N63" t="s">
        <v>25</v>
      </c>
      <c r="O63">
        <v>26.047499999999999</v>
      </c>
      <c r="P63" t="s">
        <v>23</v>
      </c>
      <c r="Q63">
        <v>15</v>
      </c>
    </row>
    <row r="64" spans="1:17" x14ac:dyDescent="0.2">
      <c r="A64" s="2">
        <v>63</v>
      </c>
      <c r="B64" t="s">
        <v>14</v>
      </c>
      <c r="C64" t="s">
        <v>53</v>
      </c>
      <c r="D64">
        <v>1060</v>
      </c>
      <c r="F64">
        <v>15900</v>
      </c>
      <c r="H64" t="s">
        <v>58</v>
      </c>
      <c r="I64" t="s">
        <v>99</v>
      </c>
      <c r="J64">
        <v>151.328925</v>
      </c>
      <c r="K64">
        <v>73.530191666666695</v>
      </c>
      <c r="L64">
        <v>1.4</v>
      </c>
      <c r="M64">
        <v>2.6224444675840797E-7</v>
      </c>
      <c r="N64" t="s">
        <v>25</v>
      </c>
      <c r="O64">
        <v>20.547000000000001</v>
      </c>
      <c r="P64" t="s">
        <v>23</v>
      </c>
      <c r="Q64">
        <v>15</v>
      </c>
    </row>
    <row r="65" spans="1:17" x14ac:dyDescent="0.2">
      <c r="A65" s="2">
        <v>64</v>
      </c>
      <c r="B65" t="s">
        <v>14</v>
      </c>
      <c r="C65" t="s">
        <v>53</v>
      </c>
      <c r="D65">
        <v>840</v>
      </c>
      <c r="F65">
        <v>12600</v>
      </c>
      <c r="H65" t="s">
        <v>54</v>
      </c>
      <c r="I65" t="s">
        <v>100</v>
      </c>
      <c r="J65">
        <v>142.954366666666</v>
      </c>
      <c r="K65">
        <v>72.970008333333297</v>
      </c>
      <c r="L65">
        <v>1.1599999999999999</v>
      </c>
      <c r="M65">
        <v>1.7219069334325701E-7</v>
      </c>
      <c r="N65" t="s">
        <v>25</v>
      </c>
      <c r="O65">
        <v>18.5076</v>
      </c>
      <c r="P65" t="s">
        <v>23</v>
      </c>
      <c r="Q65">
        <v>15</v>
      </c>
    </row>
    <row r="66" spans="1:17" x14ac:dyDescent="0.2">
      <c r="A66" s="2">
        <v>65</v>
      </c>
      <c r="B66" t="s">
        <v>14</v>
      </c>
      <c r="C66" t="s">
        <v>53</v>
      </c>
      <c r="D66">
        <v>454</v>
      </c>
      <c r="F66">
        <v>6810</v>
      </c>
      <c r="H66" t="s">
        <v>58</v>
      </c>
      <c r="I66" t="s">
        <v>100</v>
      </c>
      <c r="J66">
        <v>142.954366666666</v>
      </c>
      <c r="K66">
        <v>72.970008333333297</v>
      </c>
      <c r="L66">
        <v>1.4</v>
      </c>
      <c r="M66">
        <v>1.1231979134746899E-7</v>
      </c>
      <c r="N66" t="s">
        <v>25</v>
      </c>
      <c r="O66">
        <v>18.5076</v>
      </c>
      <c r="P66" t="s">
        <v>23</v>
      </c>
      <c r="Q66">
        <v>15</v>
      </c>
    </row>
    <row r="67" spans="1:17" x14ac:dyDescent="0.2">
      <c r="A67" s="2">
        <v>66</v>
      </c>
      <c r="B67" t="s">
        <v>14</v>
      </c>
      <c r="C67" t="s">
        <v>53</v>
      </c>
      <c r="D67">
        <v>309</v>
      </c>
      <c r="F67">
        <v>4635</v>
      </c>
      <c r="H67" t="s">
        <v>58</v>
      </c>
      <c r="I67" t="s">
        <v>100</v>
      </c>
      <c r="J67">
        <v>142.954366666666</v>
      </c>
      <c r="K67">
        <v>72.970008333333297</v>
      </c>
      <c r="L67">
        <v>1.4</v>
      </c>
      <c r="M67">
        <v>7.6446730234290606E-8</v>
      </c>
      <c r="N67" t="s">
        <v>25</v>
      </c>
      <c r="O67">
        <v>18.5076</v>
      </c>
      <c r="P67" t="s">
        <v>23</v>
      </c>
      <c r="Q67">
        <v>15</v>
      </c>
    </row>
    <row r="68" spans="1:17" x14ac:dyDescent="0.2">
      <c r="A68" s="2">
        <v>67</v>
      </c>
      <c r="B68" t="s">
        <v>14</v>
      </c>
      <c r="C68" t="s">
        <v>53</v>
      </c>
      <c r="D68">
        <v>161</v>
      </c>
      <c r="F68">
        <v>2415</v>
      </c>
      <c r="H68" t="s">
        <v>58</v>
      </c>
      <c r="I68" t="s">
        <v>100</v>
      </c>
      <c r="J68">
        <v>142.954366666666</v>
      </c>
      <c r="K68">
        <v>72.970008333333297</v>
      </c>
      <c r="L68">
        <v>1.4</v>
      </c>
      <c r="M68">
        <v>3.9831467856701598E-8</v>
      </c>
      <c r="N68" t="s">
        <v>25</v>
      </c>
      <c r="O68">
        <v>18.5076</v>
      </c>
      <c r="P68" t="s">
        <v>23</v>
      </c>
      <c r="Q68">
        <v>15</v>
      </c>
    </row>
    <row r="69" spans="1:17" x14ac:dyDescent="0.2">
      <c r="A69" s="2">
        <v>68</v>
      </c>
      <c r="B69" t="s">
        <v>14</v>
      </c>
      <c r="C69" t="s">
        <v>53</v>
      </c>
      <c r="D69">
        <v>206</v>
      </c>
      <c r="F69">
        <v>3090</v>
      </c>
      <c r="H69" t="s">
        <v>58</v>
      </c>
      <c r="I69" t="s">
        <v>100</v>
      </c>
      <c r="J69">
        <v>142.954366666666</v>
      </c>
      <c r="K69">
        <v>72.970008333333297</v>
      </c>
      <c r="L69">
        <v>1.4</v>
      </c>
      <c r="M69">
        <v>5.0964486822860402E-8</v>
      </c>
      <c r="N69" t="s">
        <v>25</v>
      </c>
      <c r="O69">
        <v>18.5076</v>
      </c>
      <c r="P69" t="s">
        <v>23</v>
      </c>
      <c r="Q69">
        <v>15</v>
      </c>
    </row>
    <row r="70" spans="1:17" x14ac:dyDescent="0.2">
      <c r="A70" s="2">
        <v>69</v>
      </c>
      <c r="B70" t="s">
        <v>14</v>
      </c>
      <c r="C70" t="s">
        <v>86</v>
      </c>
      <c r="D70">
        <v>2055</v>
      </c>
      <c r="F70">
        <v>30825</v>
      </c>
      <c r="H70" t="s">
        <v>58</v>
      </c>
      <c r="I70" t="s">
        <v>100</v>
      </c>
      <c r="J70">
        <v>142.954366666666</v>
      </c>
      <c r="K70">
        <v>72.970008333333297</v>
      </c>
      <c r="L70">
        <v>1.4</v>
      </c>
      <c r="M70">
        <v>5.08407866121253E-7</v>
      </c>
      <c r="N70" t="s">
        <v>25</v>
      </c>
      <c r="O70">
        <v>18.5076</v>
      </c>
      <c r="P70" t="s">
        <v>23</v>
      </c>
      <c r="Q70">
        <v>15</v>
      </c>
    </row>
    <row r="71" spans="1:17" x14ac:dyDescent="0.2">
      <c r="A71" s="2">
        <v>70</v>
      </c>
      <c r="B71" t="s">
        <v>14</v>
      </c>
      <c r="C71" t="s">
        <v>101</v>
      </c>
      <c r="D71">
        <v>637</v>
      </c>
      <c r="F71">
        <v>9555</v>
      </c>
      <c r="H71" t="s">
        <v>54</v>
      </c>
      <c r="I71" t="s">
        <v>100</v>
      </c>
      <c r="J71">
        <v>142.954366666666</v>
      </c>
      <c r="K71">
        <v>72.970008333333297</v>
      </c>
      <c r="L71">
        <v>1.1599999999999999</v>
      </c>
      <c r="M71">
        <v>1.3057794245197E-7</v>
      </c>
      <c r="N71" t="s">
        <v>25</v>
      </c>
      <c r="O71">
        <v>18.5076</v>
      </c>
      <c r="P71" t="s">
        <v>23</v>
      </c>
      <c r="Q71">
        <v>15</v>
      </c>
    </row>
    <row r="72" spans="1:17" x14ac:dyDescent="0.2">
      <c r="A72" s="2">
        <v>71</v>
      </c>
      <c r="B72" t="s">
        <v>14</v>
      </c>
      <c r="C72" t="s">
        <v>53</v>
      </c>
      <c r="D72" s="7">
        <v>5146</v>
      </c>
      <c r="F72">
        <v>77190</v>
      </c>
      <c r="H72" t="s">
        <v>58</v>
      </c>
      <c r="I72" t="s">
        <v>102</v>
      </c>
      <c r="J72">
        <v>140.048433333334</v>
      </c>
      <c r="K72">
        <v>72.971100000000007</v>
      </c>
      <c r="L72">
        <v>1.4</v>
      </c>
      <c r="M72">
        <v>1.27312256888563E-6</v>
      </c>
      <c r="N72" t="s">
        <v>25</v>
      </c>
      <c r="O72">
        <v>21.352699999999999</v>
      </c>
      <c r="P72" t="s">
        <v>23</v>
      </c>
      <c r="Q72">
        <v>15</v>
      </c>
    </row>
    <row r="73" spans="1:17" x14ac:dyDescent="0.2">
      <c r="A73" s="2">
        <v>72</v>
      </c>
      <c r="B73" t="s">
        <v>14</v>
      </c>
      <c r="C73" t="s">
        <v>44</v>
      </c>
      <c r="D73">
        <v>253</v>
      </c>
      <c r="F73">
        <v>3795</v>
      </c>
      <c r="H73" t="s">
        <v>58</v>
      </c>
      <c r="I73" t="s">
        <v>102</v>
      </c>
      <c r="J73">
        <v>140.048433333334</v>
      </c>
      <c r="K73">
        <v>72.971100000000007</v>
      </c>
      <c r="L73">
        <v>1.4</v>
      </c>
      <c r="M73">
        <v>6.2592306631959603E-8</v>
      </c>
      <c r="N73" t="s">
        <v>25</v>
      </c>
      <c r="O73">
        <v>21.352699999999999</v>
      </c>
      <c r="P73" t="s">
        <v>23</v>
      </c>
      <c r="Q73">
        <v>15</v>
      </c>
    </row>
    <row r="74" spans="1:17" x14ac:dyDescent="0.2">
      <c r="A74" s="2">
        <v>74</v>
      </c>
      <c r="B74" t="s">
        <v>14</v>
      </c>
      <c r="C74" t="s">
        <v>53</v>
      </c>
      <c r="D74">
        <v>1212</v>
      </c>
      <c r="F74">
        <v>18180</v>
      </c>
      <c r="H74" t="s">
        <v>58</v>
      </c>
      <c r="I74" t="s">
        <v>103</v>
      </c>
      <c r="J74">
        <v>130.40453333333301</v>
      </c>
      <c r="K74">
        <v>73.112633333333306</v>
      </c>
      <c r="L74">
        <v>1.4</v>
      </c>
      <c r="M74">
        <v>2.9984931082187799E-7</v>
      </c>
      <c r="N74" t="s">
        <v>30</v>
      </c>
      <c r="O74">
        <v>13.9146</v>
      </c>
      <c r="P74" t="s">
        <v>20</v>
      </c>
      <c r="Q74">
        <v>15</v>
      </c>
    </row>
    <row r="75" spans="1:17" x14ac:dyDescent="0.2">
      <c r="A75" s="2">
        <v>75</v>
      </c>
      <c r="B75" t="s">
        <v>14</v>
      </c>
      <c r="C75" t="s">
        <v>53</v>
      </c>
      <c r="D75">
        <v>453</v>
      </c>
      <c r="F75">
        <v>6795</v>
      </c>
      <c r="H75" t="s">
        <v>58</v>
      </c>
      <c r="I75" t="s">
        <v>103</v>
      </c>
      <c r="J75">
        <v>130.40453333333301</v>
      </c>
      <c r="K75">
        <v>73.112633333333306</v>
      </c>
      <c r="L75">
        <v>1.4</v>
      </c>
      <c r="M75">
        <v>1.1207239092599899E-7</v>
      </c>
      <c r="N75" t="s">
        <v>30</v>
      </c>
      <c r="O75">
        <v>13.9146</v>
      </c>
      <c r="P75" t="s">
        <v>20</v>
      </c>
      <c r="Q75">
        <v>15</v>
      </c>
    </row>
    <row r="76" spans="1:17" x14ac:dyDescent="0.2">
      <c r="A76" s="2">
        <v>76</v>
      </c>
      <c r="B76" t="s">
        <v>14</v>
      </c>
      <c r="C76" t="s">
        <v>53</v>
      </c>
      <c r="D76">
        <v>356</v>
      </c>
      <c r="F76">
        <v>5340</v>
      </c>
      <c r="H76" t="s">
        <v>58</v>
      </c>
      <c r="I76" t="s">
        <v>103</v>
      </c>
      <c r="J76">
        <v>130.40453333333301</v>
      </c>
      <c r="K76">
        <v>73.112633333333306</v>
      </c>
      <c r="L76">
        <v>1.4</v>
      </c>
      <c r="M76">
        <v>8.80745500433898E-8</v>
      </c>
      <c r="N76" t="s">
        <v>30</v>
      </c>
      <c r="O76">
        <v>13.9146</v>
      </c>
      <c r="P76" t="s">
        <v>20</v>
      </c>
      <c r="Q76">
        <v>15</v>
      </c>
    </row>
    <row r="77" spans="1:17" x14ac:dyDescent="0.2">
      <c r="A77" s="2">
        <v>77</v>
      </c>
      <c r="B77" t="s">
        <v>14</v>
      </c>
      <c r="C77" t="s">
        <v>53</v>
      </c>
      <c r="D77">
        <v>4908</v>
      </c>
      <c r="F77">
        <v>73620</v>
      </c>
      <c r="H77" t="s">
        <v>58</v>
      </c>
      <c r="I77" t="s">
        <v>104</v>
      </c>
      <c r="J77">
        <v>130.26826666666699</v>
      </c>
      <c r="K77">
        <v>73.347508333333295</v>
      </c>
      <c r="L77">
        <v>1.4</v>
      </c>
      <c r="M77">
        <v>1.21424126857572E-6</v>
      </c>
      <c r="N77" t="s">
        <v>30</v>
      </c>
      <c r="O77">
        <v>13.698499999999999</v>
      </c>
      <c r="P77" t="s">
        <v>20</v>
      </c>
      <c r="Q77">
        <v>15</v>
      </c>
    </row>
    <row r="78" spans="1:17" x14ac:dyDescent="0.2">
      <c r="A78" s="2">
        <v>78</v>
      </c>
      <c r="B78" t="s">
        <v>14</v>
      </c>
      <c r="C78" t="s">
        <v>53</v>
      </c>
      <c r="D78">
        <v>818</v>
      </c>
      <c r="F78">
        <v>12270</v>
      </c>
      <c r="H78" t="s">
        <v>54</v>
      </c>
      <c r="I78" t="s">
        <v>105</v>
      </c>
      <c r="J78">
        <v>127.796233333334</v>
      </c>
      <c r="K78">
        <v>74.967016666666694</v>
      </c>
      <c r="L78">
        <v>1.1599999999999999</v>
      </c>
      <c r="M78">
        <v>1.6768093708902799E-7</v>
      </c>
      <c r="N78" t="s">
        <v>30</v>
      </c>
      <c r="O78">
        <v>16.621300000000002</v>
      </c>
      <c r="P78" t="s">
        <v>23</v>
      </c>
      <c r="Q78">
        <v>15</v>
      </c>
    </row>
    <row r="79" spans="1:17" x14ac:dyDescent="0.2">
      <c r="A79" s="2">
        <v>79</v>
      </c>
      <c r="B79" t="s">
        <v>14</v>
      </c>
      <c r="C79" t="s">
        <v>83</v>
      </c>
      <c r="D79">
        <v>2627</v>
      </c>
      <c r="F79">
        <v>39405</v>
      </c>
      <c r="H79" t="s">
        <v>58</v>
      </c>
      <c r="I79" t="s">
        <v>105</v>
      </c>
      <c r="J79">
        <v>127.796233333334</v>
      </c>
      <c r="K79">
        <v>74.967016666666694</v>
      </c>
      <c r="L79">
        <v>1.4</v>
      </c>
      <c r="M79">
        <v>6.4992090720220502E-7</v>
      </c>
      <c r="N79" t="s">
        <v>30</v>
      </c>
      <c r="O79">
        <v>16.621300000000002</v>
      </c>
      <c r="P79" t="s">
        <v>23</v>
      </c>
      <c r="Q79">
        <v>15</v>
      </c>
    </row>
    <row r="80" spans="1:17" x14ac:dyDescent="0.2">
      <c r="A80" s="2">
        <v>80</v>
      </c>
      <c r="B80" t="s">
        <v>14</v>
      </c>
      <c r="C80" t="s">
        <v>53</v>
      </c>
      <c r="D80">
        <v>162</v>
      </c>
      <c r="F80">
        <v>2430</v>
      </c>
      <c r="H80" t="s">
        <v>54</v>
      </c>
      <c r="I80" t="s">
        <v>106</v>
      </c>
      <c r="J80">
        <v>127.977591666667</v>
      </c>
      <c r="K80">
        <v>75.105316666666695</v>
      </c>
      <c r="L80">
        <v>1.1599999999999999</v>
      </c>
      <c r="M80">
        <v>3.3208205144770899E-8</v>
      </c>
      <c r="N80" t="s">
        <v>30</v>
      </c>
      <c r="O80">
        <v>18.2819</v>
      </c>
      <c r="P80" t="s">
        <v>23</v>
      </c>
      <c r="Q80">
        <v>15</v>
      </c>
    </row>
    <row r="81" spans="1:17" x14ac:dyDescent="0.2">
      <c r="A81" s="2">
        <v>81</v>
      </c>
      <c r="B81" t="s">
        <v>14</v>
      </c>
      <c r="C81" t="s">
        <v>53</v>
      </c>
      <c r="D81">
        <v>707</v>
      </c>
      <c r="F81">
        <v>10605</v>
      </c>
      <c r="H81" t="s">
        <v>58</v>
      </c>
      <c r="I81" t="s">
        <v>107</v>
      </c>
      <c r="J81">
        <v>127.30222500000001</v>
      </c>
      <c r="K81">
        <v>75.803299999999993</v>
      </c>
      <c r="L81">
        <v>1.4</v>
      </c>
      <c r="M81">
        <v>1.7491209797942899E-7</v>
      </c>
      <c r="N81" t="s">
        <v>30</v>
      </c>
      <c r="O81">
        <v>21.749400000000001</v>
      </c>
      <c r="P81" t="s">
        <v>23</v>
      </c>
      <c r="Q81">
        <v>15</v>
      </c>
    </row>
    <row r="82" spans="1:17" x14ac:dyDescent="0.2">
      <c r="A82" s="2">
        <v>82</v>
      </c>
      <c r="B82" t="s">
        <v>14</v>
      </c>
      <c r="C82" t="s">
        <v>53</v>
      </c>
      <c r="D82">
        <v>587</v>
      </c>
      <c r="F82">
        <v>8805</v>
      </c>
      <c r="H82" t="s">
        <v>58</v>
      </c>
      <c r="I82" t="s">
        <v>107</v>
      </c>
      <c r="J82">
        <v>127.30222500000001</v>
      </c>
      <c r="K82">
        <v>75.803299999999993</v>
      </c>
      <c r="L82">
        <v>1.4</v>
      </c>
      <c r="M82">
        <v>1.45224047403005E-7</v>
      </c>
      <c r="N82" t="s">
        <v>30</v>
      </c>
      <c r="O82">
        <v>21.749400000000001</v>
      </c>
      <c r="P82" t="s">
        <v>23</v>
      </c>
      <c r="Q82">
        <v>15</v>
      </c>
    </row>
    <row r="83" spans="1:17" x14ac:dyDescent="0.2">
      <c r="A83" s="2">
        <v>83</v>
      </c>
      <c r="B83" t="s">
        <v>7</v>
      </c>
      <c r="C83" t="s">
        <v>86</v>
      </c>
      <c r="D83">
        <v>1013</v>
      </c>
      <c r="E83" t="s">
        <v>108</v>
      </c>
      <c r="F83">
        <v>54000</v>
      </c>
      <c r="H83" t="s">
        <v>109</v>
      </c>
      <c r="I83" t="s">
        <v>107</v>
      </c>
      <c r="J83">
        <v>127.30222500000001</v>
      </c>
      <c r="K83">
        <v>75.803299999999993</v>
      </c>
      <c r="L83">
        <v>1.08</v>
      </c>
      <c r="M83">
        <v>1.7495999999999999E-6</v>
      </c>
      <c r="N83" t="s">
        <v>30</v>
      </c>
      <c r="O83">
        <v>21.749400000000001</v>
      </c>
      <c r="P83" t="s">
        <v>23</v>
      </c>
      <c r="Q83">
        <v>30</v>
      </c>
    </row>
    <row r="84" spans="1:17" x14ac:dyDescent="0.2">
      <c r="A84" s="2">
        <v>84</v>
      </c>
      <c r="B84" t="s">
        <v>7</v>
      </c>
      <c r="C84" t="s">
        <v>60</v>
      </c>
      <c r="D84">
        <v>185</v>
      </c>
      <c r="E84">
        <v>56</v>
      </c>
      <c r="F84">
        <v>10360</v>
      </c>
      <c r="H84" t="s">
        <v>34</v>
      </c>
      <c r="I84" t="s">
        <v>107</v>
      </c>
      <c r="J84">
        <v>127.30222500000001</v>
      </c>
      <c r="K84">
        <v>75.803299999999993</v>
      </c>
      <c r="L84">
        <v>1.1000000000000001</v>
      </c>
      <c r="M84">
        <v>3.4187999999999999E-7</v>
      </c>
      <c r="N84" t="s">
        <v>30</v>
      </c>
      <c r="O84">
        <v>21.749400000000001</v>
      </c>
      <c r="P84" t="s">
        <v>23</v>
      </c>
      <c r="Q84">
        <v>30</v>
      </c>
    </row>
    <row r="85" spans="1:17" x14ac:dyDescent="0.2">
      <c r="A85" s="2">
        <v>85</v>
      </c>
      <c r="B85" t="s">
        <v>14</v>
      </c>
      <c r="C85" t="s">
        <v>53</v>
      </c>
      <c r="D85">
        <v>345</v>
      </c>
      <c r="F85">
        <v>5175</v>
      </c>
      <c r="H85" t="s">
        <v>58</v>
      </c>
      <c r="I85" t="s">
        <v>110</v>
      </c>
      <c r="J85">
        <v>127.177016666667</v>
      </c>
      <c r="K85">
        <v>76.958908333333298</v>
      </c>
      <c r="L85">
        <v>1.4</v>
      </c>
      <c r="M85">
        <v>8.53531454072177E-8</v>
      </c>
      <c r="N85" t="s">
        <v>30</v>
      </c>
      <c r="O85">
        <v>30.151800000000001</v>
      </c>
      <c r="P85" t="s">
        <v>68</v>
      </c>
      <c r="Q85">
        <v>15</v>
      </c>
    </row>
    <row r="86" spans="1:17" x14ac:dyDescent="0.2">
      <c r="A86" s="2">
        <v>86</v>
      </c>
      <c r="B86" t="s">
        <v>14</v>
      </c>
      <c r="C86" t="s">
        <v>53</v>
      </c>
      <c r="D86">
        <v>176</v>
      </c>
      <c r="F86">
        <v>2640</v>
      </c>
      <c r="H86" t="s">
        <v>58</v>
      </c>
      <c r="I86" t="s">
        <v>110</v>
      </c>
      <c r="J86">
        <v>127.177016666667</v>
      </c>
      <c r="K86">
        <v>76.958908333333298</v>
      </c>
      <c r="L86">
        <v>1.4</v>
      </c>
      <c r="M86">
        <v>4.3542474178754497E-8</v>
      </c>
      <c r="N86" t="s">
        <v>30</v>
      </c>
      <c r="O86">
        <v>28.953199999999999</v>
      </c>
      <c r="P86" t="s">
        <v>68</v>
      </c>
      <c r="Q86">
        <v>15</v>
      </c>
    </row>
    <row r="87" spans="1:17" x14ac:dyDescent="0.2">
      <c r="A87" s="2">
        <v>87</v>
      </c>
      <c r="B87" t="s">
        <v>14</v>
      </c>
      <c r="C87" t="s">
        <v>53</v>
      </c>
      <c r="D87">
        <v>740</v>
      </c>
      <c r="F87">
        <v>11100</v>
      </c>
      <c r="H87" t="s">
        <v>70</v>
      </c>
      <c r="I87" t="s">
        <v>111</v>
      </c>
      <c r="J87">
        <v>124.386508333333</v>
      </c>
      <c r="K87">
        <v>77.226258333333405</v>
      </c>
      <c r="L87">
        <v>2.2000000000000002</v>
      </c>
      <c r="M87">
        <v>2.8769134725248498E-7</v>
      </c>
      <c r="N87" t="s">
        <v>30</v>
      </c>
      <c r="O87">
        <v>30.146699999999999</v>
      </c>
      <c r="P87" t="s">
        <v>68</v>
      </c>
      <c r="Q87">
        <v>15</v>
      </c>
    </row>
    <row r="88" spans="1:17" x14ac:dyDescent="0.2">
      <c r="A88" s="2">
        <v>88</v>
      </c>
      <c r="B88" t="s">
        <v>14</v>
      </c>
      <c r="C88" t="s">
        <v>83</v>
      </c>
      <c r="D88">
        <v>1776</v>
      </c>
      <c r="F88">
        <v>26640</v>
      </c>
      <c r="H88" t="s">
        <v>58</v>
      </c>
      <c r="I88" t="s">
        <v>112</v>
      </c>
      <c r="J88">
        <v>113.229308333334</v>
      </c>
      <c r="K88">
        <v>77.592725000000002</v>
      </c>
      <c r="L88">
        <v>1.4</v>
      </c>
      <c r="M88">
        <v>4.39383148531068E-7</v>
      </c>
      <c r="N88" t="s">
        <v>30</v>
      </c>
      <c r="O88">
        <v>30.767800000000001</v>
      </c>
      <c r="P88" t="s">
        <v>68</v>
      </c>
      <c r="Q88">
        <v>15</v>
      </c>
    </row>
    <row r="89" spans="1:17" x14ac:dyDescent="0.2">
      <c r="A89" s="2">
        <v>89</v>
      </c>
      <c r="B89" t="s">
        <v>7</v>
      </c>
      <c r="C89" t="s">
        <v>86</v>
      </c>
      <c r="D89">
        <v>121</v>
      </c>
      <c r="E89">
        <v>56</v>
      </c>
      <c r="F89">
        <v>4384</v>
      </c>
      <c r="H89" t="s">
        <v>27</v>
      </c>
      <c r="I89" t="s">
        <v>112</v>
      </c>
      <c r="J89">
        <v>113.229308333334</v>
      </c>
      <c r="K89">
        <v>77.592725000000002</v>
      </c>
      <c r="L89">
        <v>1.2</v>
      </c>
      <c r="M89">
        <v>1.0521599999999999E-7</v>
      </c>
      <c r="N89" t="s">
        <v>30</v>
      </c>
      <c r="O89">
        <v>30.767800000000001</v>
      </c>
      <c r="P89" t="s">
        <v>68</v>
      </c>
      <c r="Q89">
        <v>20</v>
      </c>
    </row>
    <row r="90" spans="1:17" x14ac:dyDescent="0.2">
      <c r="A90" s="2">
        <v>90</v>
      </c>
      <c r="B90" t="s">
        <v>7</v>
      </c>
      <c r="C90" t="s">
        <v>86</v>
      </c>
      <c r="D90">
        <v>78</v>
      </c>
      <c r="E90">
        <v>78</v>
      </c>
      <c r="F90">
        <v>3600</v>
      </c>
      <c r="H90" t="s">
        <v>113</v>
      </c>
      <c r="I90" t="s">
        <v>112</v>
      </c>
      <c r="J90">
        <v>113.229308333334</v>
      </c>
      <c r="K90">
        <v>77.592725000000002</v>
      </c>
      <c r="L90">
        <v>1.18</v>
      </c>
      <c r="M90">
        <v>8.4960000000000001E-8</v>
      </c>
      <c r="N90" t="s">
        <v>30</v>
      </c>
      <c r="O90">
        <v>30.767800000000001</v>
      </c>
      <c r="P90" t="s">
        <v>68</v>
      </c>
      <c r="Q90">
        <v>20</v>
      </c>
    </row>
    <row r="91" spans="1:17" x14ac:dyDescent="0.2">
      <c r="A91" s="2">
        <v>91</v>
      </c>
      <c r="B91" t="s">
        <v>7</v>
      </c>
      <c r="C91" t="s">
        <v>60</v>
      </c>
      <c r="D91">
        <v>135</v>
      </c>
      <c r="E91">
        <v>118</v>
      </c>
      <c r="F91">
        <v>16000</v>
      </c>
      <c r="H91" t="s">
        <v>34</v>
      </c>
      <c r="I91" t="s">
        <v>114</v>
      </c>
      <c r="J91">
        <v>104.18378333333401</v>
      </c>
      <c r="K91">
        <v>77.961375000000004</v>
      </c>
      <c r="L91">
        <v>1.1000000000000001</v>
      </c>
      <c r="M91">
        <v>5.2799999999999996E-7</v>
      </c>
      <c r="N91" t="s">
        <v>17</v>
      </c>
      <c r="O91">
        <v>30.795200000000001</v>
      </c>
      <c r="P91" t="s">
        <v>68</v>
      </c>
      <c r="Q91">
        <v>30</v>
      </c>
    </row>
    <row r="92" spans="1:17" x14ac:dyDescent="0.2">
      <c r="A92" s="2">
        <v>92</v>
      </c>
      <c r="B92" t="s">
        <v>7</v>
      </c>
      <c r="C92" t="s">
        <v>60</v>
      </c>
      <c r="D92">
        <v>435</v>
      </c>
      <c r="E92">
        <v>133</v>
      </c>
      <c r="F92">
        <v>52000</v>
      </c>
      <c r="H92" t="s">
        <v>115</v>
      </c>
      <c r="I92" t="s">
        <v>116</v>
      </c>
      <c r="J92">
        <v>88.949716666666703</v>
      </c>
      <c r="K92">
        <v>76.1688166666667</v>
      </c>
      <c r="L92">
        <v>1.06</v>
      </c>
      <c r="M92">
        <v>1.6535999999999999E-6</v>
      </c>
      <c r="N92" t="s">
        <v>17</v>
      </c>
      <c r="O92">
        <v>29.282900000000001</v>
      </c>
      <c r="P92" t="s">
        <v>68</v>
      </c>
      <c r="Q92">
        <v>30</v>
      </c>
    </row>
    <row r="93" spans="1:17" x14ac:dyDescent="0.2">
      <c r="A93" s="2">
        <v>93</v>
      </c>
      <c r="B93" t="s">
        <v>7</v>
      </c>
      <c r="C93" t="s">
        <v>101</v>
      </c>
      <c r="D93">
        <v>215</v>
      </c>
      <c r="E93">
        <v>182</v>
      </c>
      <c r="F93">
        <v>31000</v>
      </c>
      <c r="G93" t="s">
        <v>69</v>
      </c>
      <c r="H93" t="s">
        <v>115</v>
      </c>
      <c r="I93" t="s">
        <v>116</v>
      </c>
      <c r="J93">
        <v>88.949716666666703</v>
      </c>
      <c r="K93">
        <v>76.1688166666667</v>
      </c>
      <c r="L93">
        <v>1.06</v>
      </c>
      <c r="M93">
        <v>1.643E-6</v>
      </c>
      <c r="N93" t="s">
        <v>17</v>
      </c>
      <c r="O93">
        <v>29.282900000000001</v>
      </c>
      <c r="P93" t="s">
        <v>68</v>
      </c>
      <c r="Q93">
        <v>50</v>
      </c>
    </row>
    <row r="94" spans="1:17" x14ac:dyDescent="0.2">
      <c r="A94" s="2">
        <v>94</v>
      </c>
      <c r="B94" t="s">
        <v>7</v>
      </c>
      <c r="C94" t="s">
        <v>72</v>
      </c>
      <c r="D94">
        <v>760</v>
      </c>
      <c r="E94">
        <v>415</v>
      </c>
      <c r="F94">
        <v>225400</v>
      </c>
      <c r="G94" t="s">
        <v>49</v>
      </c>
      <c r="H94" t="s">
        <v>109</v>
      </c>
      <c r="I94" t="s">
        <v>116</v>
      </c>
      <c r="J94">
        <v>88.949716666666703</v>
      </c>
      <c r="K94">
        <v>76.1688166666667</v>
      </c>
      <c r="L94">
        <v>1.08</v>
      </c>
      <c r="M94">
        <v>4.8686399999999997E-6</v>
      </c>
      <c r="N94" t="s">
        <v>17</v>
      </c>
      <c r="O94">
        <v>29.282900000000001</v>
      </c>
      <c r="P94" t="s">
        <v>68</v>
      </c>
      <c r="Q94">
        <v>20</v>
      </c>
    </row>
    <row r="95" spans="1:17" x14ac:dyDescent="0.2">
      <c r="A95" s="2">
        <v>95</v>
      </c>
      <c r="B95" t="s">
        <v>14</v>
      </c>
      <c r="C95" t="s">
        <v>53</v>
      </c>
      <c r="D95">
        <v>544</v>
      </c>
      <c r="F95">
        <v>8160</v>
      </c>
      <c r="H95" t="s">
        <v>58</v>
      </c>
      <c r="I95" t="s">
        <v>117</v>
      </c>
      <c r="J95">
        <v>69.457266666666698</v>
      </c>
      <c r="K95">
        <v>73.316766666666695</v>
      </c>
      <c r="L95">
        <v>1.4</v>
      </c>
      <c r="M95">
        <v>1.34585829279787E-7</v>
      </c>
      <c r="N95" t="s">
        <v>17</v>
      </c>
      <c r="O95">
        <v>30.876100000000001</v>
      </c>
      <c r="P95" t="s">
        <v>11</v>
      </c>
      <c r="Q95">
        <v>15</v>
      </c>
    </row>
    <row r="96" spans="1:17" x14ac:dyDescent="0.2">
      <c r="A96" s="2">
        <v>96</v>
      </c>
      <c r="B96" t="s">
        <v>14</v>
      </c>
      <c r="C96" t="s">
        <v>83</v>
      </c>
      <c r="D96">
        <v>1327</v>
      </c>
      <c r="F96">
        <v>19905</v>
      </c>
      <c r="H96" t="s">
        <v>54</v>
      </c>
      <c r="I96" t="s">
        <v>117</v>
      </c>
      <c r="J96">
        <v>69.457266666666698</v>
      </c>
      <c r="K96">
        <v>73.316766666666695</v>
      </c>
      <c r="L96">
        <v>1.1599999999999999</v>
      </c>
      <c r="M96">
        <v>2.7202029769821602E-7</v>
      </c>
      <c r="N96" t="s">
        <v>17</v>
      </c>
      <c r="O96">
        <v>30.876100000000001</v>
      </c>
      <c r="P96" t="s">
        <v>11</v>
      </c>
      <c r="Q96">
        <v>15</v>
      </c>
    </row>
    <row r="97" spans="1:17" x14ac:dyDescent="0.2">
      <c r="A97" s="2">
        <v>97</v>
      </c>
      <c r="B97" t="s">
        <v>7</v>
      </c>
      <c r="C97" t="s">
        <v>86</v>
      </c>
      <c r="D97">
        <v>424</v>
      </c>
      <c r="E97">
        <v>53</v>
      </c>
      <c r="F97">
        <v>22500</v>
      </c>
      <c r="H97" t="s">
        <v>19</v>
      </c>
      <c r="I97" t="s">
        <v>117</v>
      </c>
      <c r="J97">
        <v>69.457266666666698</v>
      </c>
      <c r="K97">
        <v>73.316766666666695</v>
      </c>
      <c r="L97">
        <v>0.94599999999999995</v>
      </c>
      <c r="M97">
        <v>4.2570000000000001E-7</v>
      </c>
      <c r="N97" t="s">
        <v>17</v>
      </c>
      <c r="O97">
        <v>30.876100000000001</v>
      </c>
      <c r="P97" t="s">
        <v>11</v>
      </c>
      <c r="Q97">
        <v>20</v>
      </c>
    </row>
    <row r="98" spans="1:17" x14ac:dyDescent="0.2">
      <c r="A98" s="2">
        <v>99</v>
      </c>
      <c r="B98" t="s">
        <v>14</v>
      </c>
      <c r="C98" t="s">
        <v>53</v>
      </c>
      <c r="D98">
        <v>236</v>
      </c>
      <c r="F98">
        <v>3540</v>
      </c>
      <c r="H98" t="s">
        <v>58</v>
      </c>
      <c r="I98" t="s">
        <v>118</v>
      </c>
      <c r="J98">
        <v>64.134225000000001</v>
      </c>
      <c r="K98">
        <v>72.525125000000003</v>
      </c>
      <c r="L98">
        <v>1.4</v>
      </c>
      <c r="M98">
        <v>5.83864994669663E-8</v>
      </c>
      <c r="N98" t="s">
        <v>17</v>
      </c>
      <c r="O98">
        <v>32.061100000000003</v>
      </c>
      <c r="P98" t="s">
        <v>11</v>
      </c>
      <c r="Q98">
        <v>15</v>
      </c>
    </row>
    <row r="99" spans="1:17" x14ac:dyDescent="0.2">
      <c r="A99" s="2">
        <v>100</v>
      </c>
      <c r="B99" t="s">
        <v>14</v>
      </c>
      <c r="C99" t="s">
        <v>53</v>
      </c>
      <c r="D99">
        <v>286</v>
      </c>
      <c r="F99">
        <v>4290</v>
      </c>
      <c r="H99" t="s">
        <v>58</v>
      </c>
      <c r="I99" t="s">
        <v>118</v>
      </c>
      <c r="J99">
        <v>64.134225000000001</v>
      </c>
      <c r="K99">
        <v>72.525125000000003</v>
      </c>
      <c r="L99">
        <v>1.4</v>
      </c>
      <c r="M99">
        <v>7.0756520540476102E-8</v>
      </c>
      <c r="N99" t="s">
        <v>17</v>
      </c>
      <c r="O99">
        <v>32.061100000000003</v>
      </c>
      <c r="P99" t="s">
        <v>11</v>
      </c>
      <c r="Q99">
        <v>15</v>
      </c>
    </row>
    <row r="100" spans="1:17" x14ac:dyDescent="0.2">
      <c r="A100" s="2">
        <v>101</v>
      </c>
      <c r="B100" t="s">
        <v>14</v>
      </c>
      <c r="C100" t="s">
        <v>83</v>
      </c>
      <c r="D100">
        <v>187</v>
      </c>
      <c r="F100">
        <v>2805</v>
      </c>
      <c r="H100" t="s">
        <v>58</v>
      </c>
      <c r="I100" t="s">
        <v>118</v>
      </c>
      <c r="J100">
        <v>64.134225000000001</v>
      </c>
      <c r="K100">
        <v>72.525125000000003</v>
      </c>
      <c r="L100">
        <v>1.4</v>
      </c>
      <c r="M100">
        <v>4.6263878814926697E-8</v>
      </c>
      <c r="N100" t="s">
        <v>17</v>
      </c>
      <c r="O100">
        <v>32.061100000000003</v>
      </c>
      <c r="P100" t="s">
        <v>11</v>
      </c>
      <c r="Q100">
        <v>15</v>
      </c>
    </row>
    <row r="101" spans="1:17" x14ac:dyDescent="0.2">
      <c r="A101" s="2">
        <v>102</v>
      </c>
      <c r="B101" t="s">
        <v>7</v>
      </c>
      <c r="C101" t="s">
        <v>60</v>
      </c>
      <c r="D101">
        <v>510</v>
      </c>
      <c r="E101">
        <v>32</v>
      </c>
      <c r="F101">
        <v>16000</v>
      </c>
      <c r="H101" t="s">
        <v>34</v>
      </c>
      <c r="I101" t="s">
        <v>119</v>
      </c>
      <c r="J101">
        <v>61.568174999999997</v>
      </c>
      <c r="K101">
        <v>71.720016666666695</v>
      </c>
      <c r="L101">
        <v>1.1000000000000001</v>
      </c>
      <c r="M101">
        <v>3.5199999999999998E-7</v>
      </c>
      <c r="N101" t="s">
        <v>17</v>
      </c>
      <c r="O101">
        <v>32.072800000000001</v>
      </c>
      <c r="P101" t="s">
        <v>11</v>
      </c>
      <c r="Q101">
        <v>20</v>
      </c>
    </row>
    <row r="102" spans="1:17" x14ac:dyDescent="0.2">
      <c r="A102" s="2">
        <v>103</v>
      </c>
      <c r="B102" t="s">
        <v>7</v>
      </c>
      <c r="C102" t="s">
        <v>120</v>
      </c>
      <c r="D102">
        <v>138</v>
      </c>
      <c r="E102">
        <v>138</v>
      </c>
      <c r="F102">
        <v>20000</v>
      </c>
      <c r="H102" t="s">
        <v>12</v>
      </c>
      <c r="I102" t="s">
        <v>119</v>
      </c>
      <c r="J102">
        <v>61.568174999999997</v>
      </c>
      <c r="K102">
        <v>71.720016666666695</v>
      </c>
      <c r="L102">
        <v>1.45</v>
      </c>
      <c r="M102">
        <v>5.7999999999999995E-7</v>
      </c>
      <c r="N102" t="s">
        <v>17</v>
      </c>
      <c r="O102">
        <v>32.072800000000001</v>
      </c>
      <c r="P102" t="s">
        <v>11</v>
      </c>
      <c r="Q102">
        <v>20</v>
      </c>
    </row>
    <row r="103" spans="1:17" x14ac:dyDescent="0.2">
      <c r="A103" s="2">
        <v>104</v>
      </c>
      <c r="B103" t="s">
        <v>14</v>
      </c>
      <c r="C103" t="s">
        <v>53</v>
      </c>
      <c r="D103">
        <v>1684</v>
      </c>
      <c r="F103">
        <v>25260</v>
      </c>
      <c r="H103" t="s">
        <v>58</v>
      </c>
      <c r="I103" t="s">
        <v>121</v>
      </c>
      <c r="J103">
        <v>58.3867166666667</v>
      </c>
      <c r="K103">
        <v>70.780208333333306</v>
      </c>
      <c r="L103">
        <v>1.4</v>
      </c>
      <c r="M103">
        <v>4.1662230975580998E-7</v>
      </c>
      <c r="N103" t="s">
        <v>17</v>
      </c>
      <c r="O103">
        <v>28.2166</v>
      </c>
      <c r="P103" t="s">
        <v>11</v>
      </c>
      <c r="Q103">
        <v>15</v>
      </c>
    </row>
    <row r="104" spans="1:17" x14ac:dyDescent="0.2">
      <c r="A104" s="2">
        <v>105</v>
      </c>
      <c r="B104" t="s">
        <v>7</v>
      </c>
      <c r="C104" t="s">
        <v>122</v>
      </c>
      <c r="D104">
        <v>272</v>
      </c>
      <c r="E104">
        <v>176</v>
      </c>
      <c r="F104">
        <v>45600</v>
      </c>
      <c r="H104" t="s">
        <v>27</v>
      </c>
      <c r="I104" t="s">
        <v>121</v>
      </c>
      <c r="J104">
        <v>58.3867166666667</v>
      </c>
      <c r="K104">
        <v>70.780208333333306</v>
      </c>
      <c r="L104">
        <v>1.2</v>
      </c>
      <c r="M104">
        <v>1.6416000000000001E-6</v>
      </c>
      <c r="N104" t="s">
        <v>17</v>
      </c>
      <c r="O104">
        <v>28.2166</v>
      </c>
      <c r="P104" t="s">
        <v>11</v>
      </c>
      <c r="Q104">
        <v>30</v>
      </c>
    </row>
    <row r="105" spans="1:17" x14ac:dyDescent="0.2">
      <c r="A105" s="2">
        <v>106</v>
      </c>
      <c r="B105" t="s">
        <v>7</v>
      </c>
      <c r="C105" t="s">
        <v>122</v>
      </c>
      <c r="D105">
        <v>145</v>
      </c>
      <c r="E105">
        <v>60</v>
      </c>
      <c r="F105">
        <v>9500</v>
      </c>
      <c r="H105" t="s">
        <v>27</v>
      </c>
      <c r="I105" t="s">
        <v>121</v>
      </c>
      <c r="J105">
        <v>58.3867166666667</v>
      </c>
      <c r="K105">
        <v>70.780208333333306</v>
      </c>
      <c r="L105">
        <v>1.2</v>
      </c>
      <c r="M105">
        <v>3.4200000000000002E-7</v>
      </c>
      <c r="N105" t="s">
        <v>17</v>
      </c>
      <c r="O105">
        <v>28.2166</v>
      </c>
      <c r="P105" t="s">
        <v>11</v>
      </c>
      <c r="Q105">
        <v>30</v>
      </c>
    </row>
    <row r="106" spans="1:17" x14ac:dyDescent="0.2">
      <c r="A106" s="2">
        <v>107</v>
      </c>
      <c r="B106" t="s">
        <v>7</v>
      </c>
      <c r="C106" t="s">
        <v>60</v>
      </c>
      <c r="D106">
        <v>197</v>
      </c>
      <c r="E106">
        <v>124</v>
      </c>
      <c r="F106">
        <v>215000</v>
      </c>
      <c r="H106" t="s">
        <v>70</v>
      </c>
      <c r="I106" t="s">
        <v>121</v>
      </c>
      <c r="J106">
        <v>58.3867166666667</v>
      </c>
      <c r="K106">
        <v>70.780208333333306</v>
      </c>
      <c r="L106">
        <v>2.2000000000000002</v>
      </c>
      <c r="M106">
        <v>9.4599999999999992E-6</v>
      </c>
      <c r="N106" t="s">
        <v>17</v>
      </c>
      <c r="O106">
        <v>28.2166</v>
      </c>
      <c r="P106" t="s">
        <v>11</v>
      </c>
      <c r="Q106">
        <v>20</v>
      </c>
    </row>
    <row r="107" spans="1:17" x14ac:dyDescent="0.2">
      <c r="A107" s="2">
        <v>108</v>
      </c>
      <c r="B107" t="s">
        <v>7</v>
      </c>
      <c r="C107" t="s">
        <v>101</v>
      </c>
      <c r="D107">
        <v>294</v>
      </c>
      <c r="E107">
        <v>103</v>
      </c>
      <c r="F107">
        <v>24000</v>
      </c>
      <c r="H107" t="s">
        <v>12</v>
      </c>
      <c r="I107" t="s">
        <v>121</v>
      </c>
      <c r="J107">
        <v>58.3867166666667</v>
      </c>
      <c r="K107">
        <v>70.780208333333306</v>
      </c>
      <c r="L107">
        <v>1.45</v>
      </c>
      <c r="M107">
        <v>6.9599999999999999E-7</v>
      </c>
      <c r="N107" t="s">
        <v>17</v>
      </c>
      <c r="O107">
        <v>28.2166</v>
      </c>
      <c r="P107" t="s">
        <v>11</v>
      </c>
      <c r="Q107">
        <v>20</v>
      </c>
    </row>
    <row r="108" spans="1:17" x14ac:dyDescent="0.2">
      <c r="A108" s="2">
        <v>109</v>
      </c>
      <c r="B108" t="s">
        <v>14</v>
      </c>
      <c r="C108" t="s">
        <v>123</v>
      </c>
      <c r="D108">
        <v>100</v>
      </c>
      <c r="F108">
        <v>1500</v>
      </c>
      <c r="H108" t="s">
        <v>54</v>
      </c>
      <c r="I108" t="s">
        <v>124</v>
      </c>
      <c r="J108">
        <v>50.714166666666699</v>
      </c>
      <c r="K108">
        <v>69.821666666666701</v>
      </c>
      <c r="L108">
        <v>1.1599999999999999</v>
      </c>
      <c r="M108">
        <v>2.04988920646734E-8</v>
      </c>
      <c r="N108" t="s">
        <v>10</v>
      </c>
      <c r="O108">
        <v>33.840200000000003</v>
      </c>
      <c r="P108" t="s">
        <v>11</v>
      </c>
      <c r="Q108">
        <v>15</v>
      </c>
    </row>
    <row r="109" spans="1:17" x14ac:dyDescent="0.2">
      <c r="A109" s="2">
        <v>110</v>
      </c>
      <c r="B109" t="s">
        <v>14</v>
      </c>
      <c r="C109" t="s">
        <v>123</v>
      </c>
      <c r="D109">
        <v>823</v>
      </c>
      <c r="F109">
        <v>12345</v>
      </c>
      <c r="H109" t="s">
        <v>58</v>
      </c>
      <c r="I109" t="s">
        <v>125</v>
      </c>
      <c r="J109">
        <v>43.296805555555601</v>
      </c>
      <c r="K109">
        <v>68.168333333333294</v>
      </c>
      <c r="L109">
        <v>1.4</v>
      </c>
      <c r="M109">
        <v>2.03610546869971E-7</v>
      </c>
      <c r="N109" t="s">
        <v>10</v>
      </c>
      <c r="O109">
        <v>31.590399999999999</v>
      </c>
      <c r="P109" t="s">
        <v>11</v>
      </c>
      <c r="Q109">
        <v>15</v>
      </c>
    </row>
  </sheetData>
  <pageMargins left="0.78749999999999998" right="0.78749999999999998" top="1.052778" bottom="1.052778" header="0.78749999999999998" footer="0.78749999999999998"/>
  <pageSetup paperSize="9" orientation="portrait" cellComments="asDisplayed"/>
  <headerFooter>
    <oddHeader>&amp;C&amp;"Times New Roman"&amp;12&amp;A</oddHeader>
    <oddFooter>&amp;C&amp;"Times New Roman"&amp;12Страница &amp;P</oddFooter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2"/>
  <sheetViews>
    <sheetView topLeftCell="A87" workbookViewId="0">
      <selection activeCell="N2" sqref="N2"/>
    </sheetView>
  </sheetViews>
  <sheetFormatPr baseColWidth="10" defaultColWidth="8.83203125" defaultRowHeight="15" x14ac:dyDescent="0.2"/>
  <cols>
    <col min="1" max="1" width="8.5" customWidth="1"/>
    <col min="2" max="2" width="18" customWidth="1"/>
    <col min="3" max="6" width="8.5" customWidth="1"/>
    <col min="7" max="7" width="10.5" customWidth="1"/>
    <col min="8" max="8" width="17.83203125" customWidth="1"/>
    <col min="9" max="12" width="8.5" customWidth="1"/>
    <col min="13" max="13" width="12.83203125" customWidth="1"/>
    <col min="14" max="14" width="14.6640625" customWidth="1"/>
    <col min="15" max="15" width="8.5" customWidth="1"/>
    <col min="16" max="16" width="22" customWidth="1"/>
    <col min="18" max="18" width="12.6640625" customWidth="1"/>
    <col min="19" max="19" width="12.83203125" customWidth="1"/>
  </cols>
  <sheetData>
    <row r="1" spans="1:18" x14ac:dyDescent="0.2">
      <c r="B1" s="2" t="s">
        <v>0</v>
      </c>
      <c r="C1" s="2" t="s">
        <v>35</v>
      </c>
      <c r="D1" s="2" t="s">
        <v>36</v>
      </c>
      <c r="E1" s="2" t="s">
        <v>37</v>
      </c>
      <c r="F1" s="2" t="s">
        <v>3</v>
      </c>
      <c r="G1" s="2" t="s">
        <v>38</v>
      </c>
      <c r="H1" s="2" t="s">
        <v>4</v>
      </c>
      <c r="I1" s="2" t="s">
        <v>1</v>
      </c>
      <c r="J1" s="2" t="s">
        <v>39</v>
      </c>
      <c r="K1" s="2" t="s">
        <v>40</v>
      </c>
      <c r="L1" s="2" t="s">
        <v>41</v>
      </c>
      <c r="M1" t="s">
        <v>42</v>
      </c>
      <c r="N1" s="2" t="s">
        <v>5</v>
      </c>
      <c r="O1" s="2" t="s">
        <v>2</v>
      </c>
      <c r="P1" s="2" t="s">
        <v>6</v>
      </c>
      <c r="Q1" s="2" t="s">
        <v>43</v>
      </c>
      <c r="R1" s="2"/>
    </row>
    <row r="2" spans="1:18" x14ac:dyDescent="0.2">
      <c r="A2" s="2">
        <v>0</v>
      </c>
      <c r="B2" t="s">
        <v>7</v>
      </c>
      <c r="C2" t="s">
        <v>44</v>
      </c>
      <c r="D2">
        <v>895</v>
      </c>
      <c r="E2">
        <v>767</v>
      </c>
      <c r="F2">
        <v>711000</v>
      </c>
      <c r="H2" t="s">
        <v>45</v>
      </c>
      <c r="I2" t="s">
        <v>46</v>
      </c>
      <c r="J2">
        <v>41.514027777777699</v>
      </c>
      <c r="K2">
        <v>66.863888888888894</v>
      </c>
      <c r="L2">
        <v>1.4</v>
      </c>
      <c r="M2" s="5">
        <v>1.4930999999999996E-5</v>
      </c>
      <c r="N2" s="3" t="s">
        <v>10</v>
      </c>
      <c r="O2" s="3">
        <v>28.3506</v>
      </c>
      <c r="P2" t="s">
        <v>11</v>
      </c>
      <c r="Q2">
        <v>15</v>
      </c>
    </row>
    <row r="3" spans="1:18" x14ac:dyDescent="0.2">
      <c r="A3" s="2">
        <v>1</v>
      </c>
      <c r="B3" t="s">
        <v>7</v>
      </c>
      <c r="C3" t="s">
        <v>47</v>
      </c>
      <c r="D3">
        <v>789</v>
      </c>
      <c r="E3">
        <v>121</v>
      </c>
      <c r="F3">
        <v>226500</v>
      </c>
      <c r="G3" t="s">
        <v>48</v>
      </c>
      <c r="H3" t="s">
        <v>9</v>
      </c>
      <c r="I3" t="s">
        <v>46</v>
      </c>
      <c r="J3">
        <v>41.514027777777699</v>
      </c>
      <c r="K3">
        <v>66.863888888888894</v>
      </c>
      <c r="L3">
        <v>0.92300000000000004</v>
      </c>
      <c r="M3" s="5">
        <v>3.1358924999999998E-6</v>
      </c>
      <c r="N3" s="3" t="s">
        <v>10</v>
      </c>
      <c r="O3" s="3">
        <v>28.3506</v>
      </c>
      <c r="P3" t="s">
        <v>11</v>
      </c>
      <c r="Q3">
        <v>15</v>
      </c>
    </row>
    <row r="4" spans="1:18" x14ac:dyDescent="0.2">
      <c r="A4" s="2">
        <v>2</v>
      </c>
      <c r="B4" t="s">
        <v>7</v>
      </c>
      <c r="C4" t="s">
        <v>47</v>
      </c>
      <c r="D4">
        <v>776</v>
      </c>
      <c r="E4">
        <v>552</v>
      </c>
      <c r="F4">
        <v>478000</v>
      </c>
      <c r="G4" t="s">
        <v>49</v>
      </c>
      <c r="H4" t="s">
        <v>50</v>
      </c>
      <c r="I4" t="s">
        <v>46</v>
      </c>
      <c r="J4">
        <v>41.514027777777699</v>
      </c>
      <c r="K4">
        <v>66.863888888888894</v>
      </c>
      <c r="L4">
        <v>1.18</v>
      </c>
      <c r="M4" s="5">
        <v>8.4605999999999999E-6</v>
      </c>
      <c r="N4" s="3" t="s">
        <v>10</v>
      </c>
      <c r="O4" s="3">
        <v>28.3506</v>
      </c>
      <c r="P4" t="s">
        <v>11</v>
      </c>
      <c r="Q4">
        <v>15</v>
      </c>
    </row>
    <row r="5" spans="1:18" x14ac:dyDescent="0.2">
      <c r="A5" s="2">
        <v>3</v>
      </c>
      <c r="B5" t="s">
        <v>7</v>
      </c>
      <c r="C5" t="s">
        <v>51</v>
      </c>
      <c r="D5">
        <v>420</v>
      </c>
      <c r="E5">
        <v>37</v>
      </c>
      <c r="F5">
        <v>15000</v>
      </c>
      <c r="H5" t="s">
        <v>9</v>
      </c>
      <c r="I5" t="s">
        <v>52</v>
      </c>
      <c r="J5">
        <v>46.563749999999999</v>
      </c>
      <c r="K5">
        <v>69.372361111111104</v>
      </c>
      <c r="L5">
        <v>0.92300000000000004</v>
      </c>
      <c r="M5" s="5">
        <v>2.0767500000000001E-7</v>
      </c>
      <c r="N5" s="3" t="s">
        <v>10</v>
      </c>
      <c r="O5" s="3">
        <v>33.042999999999999</v>
      </c>
      <c r="P5" t="s">
        <v>11</v>
      </c>
      <c r="Q5">
        <v>15</v>
      </c>
    </row>
    <row r="6" spans="1:18" x14ac:dyDescent="0.2">
      <c r="A6" s="2">
        <v>4</v>
      </c>
      <c r="B6" t="s">
        <v>14</v>
      </c>
      <c r="C6" t="s">
        <v>53</v>
      </c>
      <c r="D6">
        <v>914</v>
      </c>
      <c r="F6">
        <f>D6*15</f>
        <v>13710</v>
      </c>
      <c r="H6" t="s">
        <v>54</v>
      </c>
      <c r="I6" t="s">
        <v>55</v>
      </c>
      <c r="J6">
        <v>52.2470833333334</v>
      </c>
      <c r="K6">
        <v>69.877361111111199</v>
      </c>
      <c r="L6">
        <v>1.1599999999999999</v>
      </c>
      <c r="M6" s="5">
        <v>2.3855399999999998E-7</v>
      </c>
      <c r="N6" s="3" t="s">
        <v>10</v>
      </c>
      <c r="O6" s="3">
        <v>32.947299999999998</v>
      </c>
      <c r="P6" t="s">
        <v>11</v>
      </c>
      <c r="Q6">
        <v>15</v>
      </c>
    </row>
    <row r="7" spans="1:18" x14ac:dyDescent="0.2">
      <c r="A7" s="2">
        <v>5</v>
      </c>
      <c r="B7" t="s">
        <v>7</v>
      </c>
      <c r="C7" t="s">
        <v>56</v>
      </c>
      <c r="D7">
        <v>269</v>
      </c>
      <c r="E7">
        <v>47</v>
      </c>
      <c r="F7">
        <v>12000</v>
      </c>
      <c r="H7" t="s">
        <v>9</v>
      </c>
      <c r="I7" t="s">
        <v>57</v>
      </c>
      <c r="J7">
        <v>61.299722222222201</v>
      </c>
      <c r="K7">
        <v>71.532361111111101</v>
      </c>
      <c r="L7">
        <v>0.92300000000000004</v>
      </c>
      <c r="M7" s="5">
        <v>1.6614E-7</v>
      </c>
      <c r="N7" s="3" t="s">
        <v>17</v>
      </c>
      <c r="O7" s="3">
        <v>31.2744</v>
      </c>
      <c r="P7" t="s">
        <v>11</v>
      </c>
      <c r="Q7">
        <v>15</v>
      </c>
    </row>
    <row r="8" spans="1:18" x14ac:dyDescent="0.2">
      <c r="A8" s="2">
        <v>6</v>
      </c>
      <c r="B8" t="s">
        <v>14</v>
      </c>
      <c r="C8" t="s">
        <v>53</v>
      </c>
      <c r="D8">
        <v>3428</v>
      </c>
      <c r="F8">
        <f>D8*15</f>
        <v>51420</v>
      </c>
      <c r="H8" t="s">
        <v>58</v>
      </c>
      <c r="I8" t="s">
        <v>59</v>
      </c>
      <c r="J8">
        <v>64.848472222222298</v>
      </c>
      <c r="K8">
        <v>72.708472222222198</v>
      </c>
      <c r="L8">
        <v>1.4</v>
      </c>
      <c r="M8" s="5">
        <v>1.0798199999999999E-6</v>
      </c>
      <c r="N8" s="3" t="s">
        <v>17</v>
      </c>
      <c r="O8" s="3">
        <v>32.0548</v>
      </c>
      <c r="P8" t="s">
        <v>11</v>
      </c>
      <c r="Q8">
        <v>15</v>
      </c>
    </row>
    <row r="9" spans="1:18" x14ac:dyDescent="0.2">
      <c r="A9" s="2">
        <v>7</v>
      </c>
      <c r="B9" t="s">
        <v>14</v>
      </c>
      <c r="C9" t="s">
        <v>53</v>
      </c>
      <c r="D9">
        <v>1998</v>
      </c>
      <c r="F9">
        <f>D9*15</f>
        <v>29970</v>
      </c>
      <c r="H9" t="s">
        <v>58</v>
      </c>
      <c r="I9" t="s">
        <v>59</v>
      </c>
      <c r="J9">
        <v>64.848472222222298</v>
      </c>
      <c r="K9">
        <v>72.708472222222198</v>
      </c>
      <c r="L9">
        <v>1.4</v>
      </c>
      <c r="M9" s="5">
        <v>6.2936999999999998E-7</v>
      </c>
      <c r="N9" s="3" t="s">
        <v>17</v>
      </c>
      <c r="O9" s="3">
        <v>32.0548</v>
      </c>
      <c r="P9" t="s">
        <v>11</v>
      </c>
      <c r="Q9">
        <v>15</v>
      </c>
    </row>
    <row r="10" spans="1:18" x14ac:dyDescent="0.2">
      <c r="A10" s="2">
        <v>8</v>
      </c>
      <c r="B10" t="s">
        <v>7</v>
      </c>
      <c r="C10" t="s">
        <v>60</v>
      </c>
      <c r="D10">
        <v>339</v>
      </c>
      <c r="E10">
        <v>197</v>
      </c>
      <c r="F10">
        <v>27000</v>
      </c>
      <c r="H10" t="s">
        <v>21</v>
      </c>
      <c r="I10" t="s">
        <v>59</v>
      </c>
      <c r="J10">
        <v>64.848472222222298</v>
      </c>
      <c r="K10">
        <v>72.708472222222198</v>
      </c>
      <c r="L10">
        <v>1.1399999999999999</v>
      </c>
      <c r="M10" s="5">
        <v>4.6170000000000001E-7</v>
      </c>
      <c r="N10" s="3" t="s">
        <v>17</v>
      </c>
      <c r="O10" s="3">
        <v>32.0548</v>
      </c>
      <c r="P10" t="s">
        <v>11</v>
      </c>
      <c r="Q10">
        <v>15</v>
      </c>
    </row>
    <row r="11" spans="1:18" x14ac:dyDescent="0.2">
      <c r="A11" s="2">
        <v>9</v>
      </c>
      <c r="B11" t="s">
        <v>7</v>
      </c>
      <c r="C11" t="s">
        <v>51</v>
      </c>
      <c r="D11">
        <v>348</v>
      </c>
      <c r="E11">
        <v>156</v>
      </c>
      <c r="F11">
        <v>34000</v>
      </c>
      <c r="H11" t="s">
        <v>61</v>
      </c>
      <c r="I11" t="s">
        <v>62</v>
      </c>
      <c r="J11">
        <v>71.412083333333399</v>
      </c>
      <c r="K11">
        <v>73.787222222222297</v>
      </c>
      <c r="L11">
        <v>1.522</v>
      </c>
      <c r="M11" s="5">
        <v>7.7622E-7</v>
      </c>
      <c r="N11" s="4" t="s">
        <v>17</v>
      </c>
      <c r="O11" s="4">
        <v>16.061199999999999</v>
      </c>
      <c r="P11" t="s">
        <v>23</v>
      </c>
      <c r="Q11">
        <v>15</v>
      </c>
    </row>
    <row r="12" spans="1:18" x14ac:dyDescent="0.2">
      <c r="A12" s="2">
        <v>10</v>
      </c>
      <c r="B12" t="s">
        <v>14</v>
      </c>
      <c r="C12" t="s">
        <v>53</v>
      </c>
      <c r="D12">
        <v>7415</v>
      </c>
      <c r="F12">
        <f>D12*15</f>
        <v>111225</v>
      </c>
      <c r="H12" t="s">
        <v>58</v>
      </c>
      <c r="I12" t="s">
        <v>63</v>
      </c>
      <c r="J12">
        <v>75.889722222222304</v>
      </c>
      <c r="K12">
        <v>73.853194444444497</v>
      </c>
      <c r="L12">
        <v>1.4</v>
      </c>
      <c r="M12" s="5">
        <v>2.335725E-6</v>
      </c>
      <c r="N12" s="4" t="s">
        <v>17</v>
      </c>
      <c r="O12" s="4">
        <v>17.374500000000001</v>
      </c>
      <c r="P12" t="s">
        <v>23</v>
      </c>
      <c r="Q12">
        <v>15</v>
      </c>
    </row>
    <row r="13" spans="1:18" x14ac:dyDescent="0.2">
      <c r="A13" s="2">
        <v>11</v>
      </c>
      <c r="B13" t="s">
        <v>14</v>
      </c>
      <c r="C13" t="s">
        <v>53</v>
      </c>
      <c r="D13">
        <v>1276</v>
      </c>
      <c r="F13">
        <f>D13*15</f>
        <v>19140</v>
      </c>
      <c r="H13" t="s">
        <v>21</v>
      </c>
      <c r="I13" t="s">
        <v>63</v>
      </c>
      <c r="J13">
        <v>75.889722222222304</v>
      </c>
      <c r="K13">
        <v>73.853194444444497</v>
      </c>
      <c r="L13">
        <v>1.1399999999999999</v>
      </c>
      <c r="M13" s="5">
        <v>3.2729400000000002E-7</v>
      </c>
      <c r="N13" s="4" t="s">
        <v>17</v>
      </c>
      <c r="O13" s="4">
        <v>17.374500000000001</v>
      </c>
      <c r="P13" t="s">
        <v>23</v>
      </c>
      <c r="Q13">
        <v>15</v>
      </c>
    </row>
    <row r="14" spans="1:18" x14ac:dyDescent="0.2">
      <c r="A14" s="2">
        <v>12</v>
      </c>
      <c r="B14" t="s">
        <v>14</v>
      </c>
      <c r="C14" t="s">
        <v>44</v>
      </c>
      <c r="D14">
        <v>437</v>
      </c>
      <c r="E14">
        <v>50</v>
      </c>
      <c r="F14">
        <v>21000</v>
      </c>
      <c r="H14" t="s">
        <v>19</v>
      </c>
      <c r="I14" t="s">
        <v>63</v>
      </c>
      <c r="J14">
        <v>75.889722222222304</v>
      </c>
      <c r="K14">
        <v>73.853194444444497</v>
      </c>
      <c r="L14">
        <v>0.94599999999999995</v>
      </c>
      <c r="M14" s="5">
        <v>4.4698500000000001E-6</v>
      </c>
      <c r="N14" s="4" t="s">
        <v>17</v>
      </c>
      <c r="O14" s="4">
        <v>17.374500000000001</v>
      </c>
      <c r="P14" t="s">
        <v>23</v>
      </c>
      <c r="Q14">
        <v>15</v>
      </c>
    </row>
    <row r="15" spans="1:18" x14ac:dyDescent="0.2">
      <c r="A15" s="2">
        <v>13</v>
      </c>
      <c r="B15" t="s">
        <v>14</v>
      </c>
      <c r="C15" t="s">
        <v>44</v>
      </c>
      <c r="D15">
        <v>304</v>
      </c>
      <c r="E15">
        <v>50</v>
      </c>
      <c r="F15">
        <v>15000</v>
      </c>
      <c r="H15" t="s">
        <v>19</v>
      </c>
      <c r="I15" t="s">
        <v>63</v>
      </c>
      <c r="J15">
        <v>75.889722222222304</v>
      </c>
      <c r="K15">
        <v>73.853194444444497</v>
      </c>
      <c r="L15">
        <v>0.94599999999999995</v>
      </c>
      <c r="M15" s="5">
        <v>3.1927500000000001E-6</v>
      </c>
      <c r="N15" s="4" t="s">
        <v>17</v>
      </c>
      <c r="O15" s="4">
        <v>17.374500000000001</v>
      </c>
      <c r="P15" t="s">
        <v>23</v>
      </c>
      <c r="Q15">
        <v>15</v>
      </c>
    </row>
    <row r="16" spans="1:18" x14ac:dyDescent="0.2">
      <c r="A16" s="2">
        <v>14</v>
      </c>
      <c r="B16" t="s">
        <v>14</v>
      </c>
      <c r="C16" t="s">
        <v>44</v>
      </c>
      <c r="D16">
        <v>622</v>
      </c>
      <c r="F16">
        <f t="shared" ref="F16:F21" si="0">D16*15</f>
        <v>9330</v>
      </c>
      <c r="H16" t="s">
        <v>54</v>
      </c>
      <c r="I16" t="s">
        <v>64</v>
      </c>
      <c r="J16">
        <v>81.690194444444401</v>
      </c>
      <c r="K16">
        <v>74.4166666666667</v>
      </c>
      <c r="L16">
        <v>1.1599999999999999</v>
      </c>
      <c r="M16" s="5">
        <v>1.6234200000000001E-7</v>
      </c>
      <c r="N16" s="4" t="s">
        <v>17</v>
      </c>
      <c r="O16" s="4">
        <v>15.498900000000001</v>
      </c>
      <c r="P16" t="s">
        <v>20</v>
      </c>
      <c r="Q16">
        <v>15</v>
      </c>
    </row>
    <row r="17" spans="1:17" x14ac:dyDescent="0.2">
      <c r="A17" s="2">
        <v>15</v>
      </c>
      <c r="B17" t="s">
        <v>14</v>
      </c>
      <c r="C17" t="s">
        <v>53</v>
      </c>
      <c r="D17">
        <v>895</v>
      </c>
      <c r="F17">
        <f t="shared" si="0"/>
        <v>13425</v>
      </c>
      <c r="H17" t="s">
        <v>54</v>
      </c>
      <c r="I17" t="s">
        <v>64</v>
      </c>
      <c r="J17">
        <v>81.690194444444401</v>
      </c>
      <c r="K17">
        <v>74.4166666666667</v>
      </c>
      <c r="L17">
        <v>1.1599999999999999</v>
      </c>
      <c r="M17" s="5">
        <v>2.3359499999999999E-7</v>
      </c>
      <c r="N17" s="4" t="s">
        <v>17</v>
      </c>
      <c r="O17" s="4">
        <v>15.498900000000001</v>
      </c>
      <c r="P17" t="s">
        <v>20</v>
      </c>
      <c r="Q17">
        <v>15</v>
      </c>
    </row>
    <row r="18" spans="1:17" x14ac:dyDescent="0.2">
      <c r="A18" s="2">
        <v>16</v>
      </c>
      <c r="B18" t="s">
        <v>14</v>
      </c>
      <c r="C18" t="s">
        <v>65</v>
      </c>
      <c r="D18">
        <v>636</v>
      </c>
      <c r="F18">
        <f t="shared" si="0"/>
        <v>9540</v>
      </c>
      <c r="H18" t="s">
        <v>54</v>
      </c>
      <c r="I18" t="s">
        <v>64</v>
      </c>
      <c r="J18">
        <v>81.690194444444401</v>
      </c>
      <c r="K18">
        <v>74.4166666666667</v>
      </c>
      <c r="L18">
        <v>1.1599999999999999</v>
      </c>
      <c r="M18" s="5">
        <v>1.65996E-7</v>
      </c>
      <c r="N18" s="4" t="s">
        <v>17</v>
      </c>
      <c r="O18" s="4">
        <v>15.498900000000001</v>
      </c>
      <c r="P18" t="s">
        <v>20</v>
      </c>
      <c r="Q18">
        <v>15</v>
      </c>
    </row>
    <row r="19" spans="1:17" x14ac:dyDescent="0.2">
      <c r="A19" s="2">
        <v>17</v>
      </c>
      <c r="B19" t="s">
        <v>14</v>
      </c>
      <c r="C19" t="s">
        <v>66</v>
      </c>
      <c r="D19">
        <v>1360</v>
      </c>
      <c r="F19">
        <f t="shared" si="0"/>
        <v>20400</v>
      </c>
      <c r="H19" t="s">
        <v>54</v>
      </c>
      <c r="I19" t="s">
        <v>67</v>
      </c>
      <c r="J19">
        <v>92.399166666666602</v>
      </c>
      <c r="K19">
        <v>76.817333333333394</v>
      </c>
      <c r="L19">
        <v>1.1599999999999999</v>
      </c>
      <c r="M19" s="5">
        <v>3.5496E-7</v>
      </c>
      <c r="N19" s="6" t="s">
        <v>17</v>
      </c>
      <c r="O19" s="6">
        <v>29.511199999999999</v>
      </c>
      <c r="P19" t="s">
        <v>68</v>
      </c>
      <c r="Q19">
        <v>15</v>
      </c>
    </row>
    <row r="20" spans="1:17" x14ac:dyDescent="0.2">
      <c r="A20" s="2">
        <v>18</v>
      </c>
      <c r="B20" t="s">
        <v>14</v>
      </c>
      <c r="C20" t="s">
        <v>53</v>
      </c>
      <c r="D20">
        <v>1033</v>
      </c>
      <c r="F20">
        <f t="shared" si="0"/>
        <v>15495</v>
      </c>
      <c r="H20" t="s">
        <v>58</v>
      </c>
      <c r="I20" t="s">
        <v>67</v>
      </c>
      <c r="J20">
        <v>92.399166666666602</v>
      </c>
      <c r="K20">
        <v>76.817333333333394</v>
      </c>
      <c r="L20">
        <v>1.4</v>
      </c>
      <c r="M20" s="5">
        <v>3.2539500000000001E-7</v>
      </c>
      <c r="N20" s="6" t="s">
        <v>17</v>
      </c>
      <c r="O20" s="6">
        <v>29.511199999999999</v>
      </c>
      <c r="P20" t="s">
        <v>68</v>
      </c>
      <c r="Q20">
        <v>15</v>
      </c>
    </row>
    <row r="21" spans="1:17" x14ac:dyDescent="0.2">
      <c r="A21" s="2">
        <v>19</v>
      </c>
      <c r="B21" t="s">
        <v>14</v>
      </c>
      <c r="C21" t="s">
        <v>53</v>
      </c>
      <c r="D21">
        <v>565</v>
      </c>
      <c r="F21">
        <f t="shared" si="0"/>
        <v>8475</v>
      </c>
      <c r="H21" t="s">
        <v>58</v>
      </c>
      <c r="I21" t="s">
        <v>67</v>
      </c>
      <c r="J21">
        <v>92.399166666666602</v>
      </c>
      <c r="K21">
        <v>76.817333333333394</v>
      </c>
      <c r="L21">
        <v>1.4</v>
      </c>
      <c r="M21" s="5">
        <v>1.77975E-7</v>
      </c>
      <c r="N21" s="6" t="s">
        <v>17</v>
      </c>
      <c r="O21" s="6">
        <v>29.511199999999999</v>
      </c>
      <c r="P21" t="s">
        <v>68</v>
      </c>
      <c r="Q21">
        <v>15</v>
      </c>
    </row>
    <row r="22" spans="1:17" x14ac:dyDescent="0.2">
      <c r="A22" s="2">
        <v>20</v>
      </c>
      <c r="B22" t="s">
        <v>7</v>
      </c>
      <c r="C22" t="s">
        <v>44</v>
      </c>
      <c r="D22">
        <v>707</v>
      </c>
      <c r="E22">
        <v>177</v>
      </c>
      <c r="F22">
        <v>129450</v>
      </c>
      <c r="G22" t="s">
        <v>49</v>
      </c>
      <c r="H22" t="s">
        <v>9</v>
      </c>
      <c r="I22" t="s">
        <v>67</v>
      </c>
      <c r="J22">
        <v>92.399166666666602</v>
      </c>
      <c r="K22">
        <v>76.817333333333394</v>
      </c>
      <c r="L22">
        <v>0.92300000000000004</v>
      </c>
      <c r="M22" s="5">
        <v>1.7922352499999999E-6</v>
      </c>
      <c r="N22" s="6" t="s">
        <v>17</v>
      </c>
      <c r="O22" s="6">
        <v>29.511199999999999</v>
      </c>
      <c r="P22" t="s">
        <v>68</v>
      </c>
      <c r="Q22">
        <v>15</v>
      </c>
    </row>
    <row r="23" spans="1:17" x14ac:dyDescent="0.2">
      <c r="A23" s="2">
        <v>21</v>
      </c>
      <c r="B23" t="s">
        <v>7</v>
      </c>
      <c r="C23" t="s">
        <v>60</v>
      </c>
      <c r="D23">
        <v>270</v>
      </c>
      <c r="E23">
        <v>266</v>
      </c>
      <c r="F23">
        <v>85700</v>
      </c>
      <c r="G23" t="s">
        <v>69</v>
      </c>
      <c r="H23" t="s">
        <v>70</v>
      </c>
      <c r="I23" t="s">
        <v>67</v>
      </c>
      <c r="J23">
        <v>92.399166666666602</v>
      </c>
      <c r="K23">
        <v>76.817333333333394</v>
      </c>
      <c r="L23">
        <v>2.2000000000000002</v>
      </c>
      <c r="M23" s="5">
        <v>2.8281000000000001E-6</v>
      </c>
      <c r="N23" s="6" t="s">
        <v>17</v>
      </c>
      <c r="O23" s="6">
        <v>29.511199999999999</v>
      </c>
      <c r="P23" t="s">
        <v>68</v>
      </c>
      <c r="Q23">
        <v>15</v>
      </c>
    </row>
    <row r="24" spans="1:17" x14ac:dyDescent="0.2">
      <c r="A24" s="2">
        <v>22</v>
      </c>
      <c r="B24" t="s">
        <v>7</v>
      </c>
      <c r="C24" t="s">
        <v>60</v>
      </c>
      <c r="D24">
        <v>569</v>
      </c>
      <c r="E24">
        <v>61</v>
      </c>
      <c r="F24">
        <v>34000</v>
      </c>
      <c r="H24" t="s">
        <v>70</v>
      </c>
      <c r="I24" t="s">
        <v>71</v>
      </c>
      <c r="J24">
        <v>98.401516666666694</v>
      </c>
      <c r="K24">
        <v>77.504083333333298</v>
      </c>
      <c r="L24">
        <v>2.2000000000000002</v>
      </c>
      <c r="M24" s="5">
        <v>1.122E-6</v>
      </c>
      <c r="N24" s="6" t="s">
        <v>17</v>
      </c>
      <c r="O24" s="6">
        <v>29.923999999999999</v>
      </c>
      <c r="P24" t="s">
        <v>68</v>
      </c>
      <c r="Q24">
        <v>15</v>
      </c>
    </row>
    <row r="25" spans="1:17" x14ac:dyDescent="0.2">
      <c r="A25" s="2">
        <v>23</v>
      </c>
      <c r="B25" t="s">
        <v>7</v>
      </c>
      <c r="C25" t="s">
        <v>72</v>
      </c>
      <c r="D25">
        <v>763</v>
      </c>
      <c r="E25">
        <v>318</v>
      </c>
      <c r="F25">
        <v>100000</v>
      </c>
      <c r="H25" t="s">
        <v>73</v>
      </c>
      <c r="I25" t="s">
        <v>71</v>
      </c>
      <c r="J25">
        <v>98.401516666666694</v>
      </c>
      <c r="K25">
        <v>77.504083333333298</v>
      </c>
      <c r="L25">
        <v>1.41</v>
      </c>
      <c r="M25" s="5">
        <v>2.1150000000000001E-6</v>
      </c>
      <c r="N25" s="6" t="s">
        <v>17</v>
      </c>
      <c r="O25" s="6">
        <v>29.923999999999999</v>
      </c>
      <c r="P25" t="s">
        <v>68</v>
      </c>
      <c r="Q25">
        <v>15</v>
      </c>
    </row>
    <row r="26" spans="1:17" x14ac:dyDescent="0.2">
      <c r="A26" s="2">
        <v>24</v>
      </c>
      <c r="B26" t="s">
        <v>7</v>
      </c>
      <c r="C26" t="s">
        <v>72</v>
      </c>
      <c r="D26">
        <v>893</v>
      </c>
      <c r="E26">
        <v>130</v>
      </c>
      <c r="F26">
        <v>64000</v>
      </c>
      <c r="G26" t="s">
        <v>49</v>
      </c>
      <c r="H26" t="s">
        <v>9</v>
      </c>
      <c r="I26" t="s">
        <v>74</v>
      </c>
      <c r="J26">
        <v>102.44</v>
      </c>
      <c r="K26">
        <v>77.896233333333399</v>
      </c>
      <c r="L26">
        <v>0.92300000000000004</v>
      </c>
      <c r="M26" s="5">
        <v>8.8607999999999995E-7</v>
      </c>
      <c r="N26" s="6" t="s">
        <v>17</v>
      </c>
      <c r="O26" s="6">
        <v>33.997799999999998</v>
      </c>
      <c r="P26" t="s">
        <v>68</v>
      </c>
      <c r="Q26">
        <v>15</v>
      </c>
    </row>
    <row r="27" spans="1:17" x14ac:dyDescent="0.2">
      <c r="A27" s="2">
        <v>25</v>
      </c>
      <c r="B27" t="s">
        <v>7</v>
      </c>
      <c r="C27" t="s">
        <v>72</v>
      </c>
      <c r="D27">
        <v>667</v>
      </c>
      <c r="E27">
        <v>179</v>
      </c>
      <c r="F27">
        <v>100000</v>
      </c>
      <c r="G27" t="s">
        <v>49</v>
      </c>
      <c r="H27" t="s">
        <v>9</v>
      </c>
      <c r="I27" t="s">
        <v>74</v>
      </c>
      <c r="J27">
        <v>102.44</v>
      </c>
      <c r="K27">
        <v>77.896233333333399</v>
      </c>
      <c r="L27">
        <v>0.92300000000000004</v>
      </c>
      <c r="M27" s="5">
        <v>1.3845E-6</v>
      </c>
      <c r="N27" s="6" t="s">
        <v>17</v>
      </c>
      <c r="O27" s="6">
        <v>33.997799999999998</v>
      </c>
      <c r="P27" t="s">
        <v>68</v>
      </c>
      <c r="Q27">
        <v>15</v>
      </c>
    </row>
    <row r="28" spans="1:17" x14ac:dyDescent="0.2">
      <c r="A28" s="2">
        <v>26</v>
      </c>
      <c r="B28" t="s">
        <v>7</v>
      </c>
      <c r="C28" t="s">
        <v>75</v>
      </c>
      <c r="D28">
        <v>204</v>
      </c>
      <c r="E28">
        <v>177</v>
      </c>
      <c r="F28">
        <v>12500</v>
      </c>
      <c r="H28" t="s">
        <v>61</v>
      </c>
      <c r="I28" t="s">
        <v>74</v>
      </c>
      <c r="J28">
        <v>102.44</v>
      </c>
      <c r="K28">
        <v>77.896233333333399</v>
      </c>
      <c r="L28">
        <v>1.522</v>
      </c>
      <c r="M28" s="5">
        <v>2.85375E-7</v>
      </c>
      <c r="N28" s="6" t="s">
        <v>17</v>
      </c>
      <c r="O28" s="6">
        <v>33.997799999999998</v>
      </c>
      <c r="P28" t="s">
        <v>68</v>
      </c>
      <c r="Q28">
        <v>15</v>
      </c>
    </row>
    <row r="29" spans="1:17" x14ac:dyDescent="0.2">
      <c r="A29" s="2">
        <v>27</v>
      </c>
      <c r="B29" t="s">
        <v>14</v>
      </c>
      <c r="C29" t="s">
        <v>53</v>
      </c>
      <c r="D29">
        <v>344</v>
      </c>
      <c r="F29">
        <f>D29*15</f>
        <v>5160</v>
      </c>
      <c r="H29" t="s">
        <v>58</v>
      </c>
      <c r="I29" t="s">
        <v>76</v>
      </c>
      <c r="J29">
        <v>106.833958333334</v>
      </c>
      <c r="K29">
        <v>77.841416666666703</v>
      </c>
      <c r="L29">
        <v>1.4</v>
      </c>
      <c r="M29" s="5">
        <v>1.0836E-7</v>
      </c>
      <c r="N29" s="6" t="s">
        <v>30</v>
      </c>
      <c r="O29" s="6">
        <v>29.978200000000001</v>
      </c>
      <c r="P29" t="s">
        <v>68</v>
      </c>
      <c r="Q29">
        <v>15</v>
      </c>
    </row>
    <row r="30" spans="1:17" x14ac:dyDescent="0.2">
      <c r="A30" s="2">
        <v>28</v>
      </c>
      <c r="B30" t="s">
        <v>14</v>
      </c>
      <c r="C30" t="s">
        <v>53</v>
      </c>
      <c r="D30">
        <v>528</v>
      </c>
      <c r="F30">
        <f>D30*15</f>
        <v>7920</v>
      </c>
      <c r="H30" t="s">
        <v>58</v>
      </c>
      <c r="I30" t="s">
        <v>76</v>
      </c>
      <c r="J30">
        <v>106.833958333334</v>
      </c>
      <c r="K30">
        <v>77.841416666666703</v>
      </c>
      <c r="L30">
        <v>1.4</v>
      </c>
      <c r="M30" s="5">
        <v>1.6632E-7</v>
      </c>
      <c r="N30" s="6" t="s">
        <v>30</v>
      </c>
      <c r="O30" s="6">
        <v>29.978200000000001</v>
      </c>
      <c r="P30" t="s">
        <v>68</v>
      </c>
      <c r="Q30">
        <v>15</v>
      </c>
    </row>
    <row r="31" spans="1:17" x14ac:dyDescent="0.2">
      <c r="A31" s="2">
        <v>29</v>
      </c>
      <c r="B31" t="s">
        <v>14</v>
      </c>
      <c r="C31" t="s">
        <v>44</v>
      </c>
      <c r="D31">
        <v>465</v>
      </c>
      <c r="F31">
        <f>D31*15</f>
        <v>6975</v>
      </c>
      <c r="H31" t="s">
        <v>19</v>
      </c>
      <c r="I31" t="s">
        <v>76</v>
      </c>
      <c r="J31">
        <v>106.833958333334</v>
      </c>
      <c r="K31">
        <v>77.841416666666703</v>
      </c>
      <c r="L31">
        <v>0.94599999999999995</v>
      </c>
      <c r="M31" s="5">
        <v>9.8975250000000005E-8</v>
      </c>
      <c r="N31" s="6" t="s">
        <v>30</v>
      </c>
      <c r="O31" s="6">
        <v>29.978200000000001</v>
      </c>
      <c r="P31" t="s">
        <v>68</v>
      </c>
      <c r="Q31">
        <v>15</v>
      </c>
    </row>
    <row r="32" spans="1:17" x14ac:dyDescent="0.2">
      <c r="A32" s="2">
        <v>30</v>
      </c>
      <c r="B32" t="s">
        <v>7</v>
      </c>
      <c r="C32" t="s">
        <v>77</v>
      </c>
      <c r="D32">
        <v>456</v>
      </c>
      <c r="E32">
        <v>142</v>
      </c>
      <c r="F32">
        <v>33500</v>
      </c>
      <c r="G32" t="s">
        <v>49</v>
      </c>
      <c r="H32" t="s">
        <v>9</v>
      </c>
      <c r="I32" t="s">
        <v>76</v>
      </c>
      <c r="J32">
        <v>106.833958333334</v>
      </c>
      <c r="K32">
        <v>77.841416666666703</v>
      </c>
      <c r="L32">
        <v>0.92300000000000004</v>
      </c>
      <c r="M32" s="5">
        <v>4.6380750000000001E-7</v>
      </c>
      <c r="N32" s="6" t="s">
        <v>30</v>
      </c>
      <c r="O32" s="6">
        <v>29.978200000000001</v>
      </c>
      <c r="P32" t="s">
        <v>68</v>
      </c>
      <c r="Q32">
        <v>15</v>
      </c>
    </row>
    <row r="33" spans="1:17" x14ac:dyDescent="0.2">
      <c r="A33" s="2">
        <v>31</v>
      </c>
      <c r="B33" t="s">
        <v>14</v>
      </c>
      <c r="C33" t="s">
        <v>53</v>
      </c>
      <c r="D33">
        <v>1361</v>
      </c>
      <c r="F33">
        <f>D33*15</f>
        <v>20415</v>
      </c>
      <c r="H33" t="s">
        <v>54</v>
      </c>
      <c r="I33" t="s">
        <v>78</v>
      </c>
      <c r="J33">
        <v>112.61923333333399</v>
      </c>
      <c r="K33">
        <v>77.648174999999995</v>
      </c>
      <c r="L33">
        <v>1.1599999999999999</v>
      </c>
      <c r="M33" s="5">
        <v>3.55221E-7</v>
      </c>
      <c r="N33" s="6" t="s">
        <v>30</v>
      </c>
      <c r="O33" s="6">
        <v>30.390599999999999</v>
      </c>
      <c r="P33" t="s">
        <v>68</v>
      </c>
      <c r="Q33">
        <v>15</v>
      </c>
    </row>
    <row r="34" spans="1:17" x14ac:dyDescent="0.2">
      <c r="A34" s="2">
        <v>32</v>
      </c>
      <c r="B34" t="s">
        <v>14</v>
      </c>
      <c r="C34" t="s">
        <v>53</v>
      </c>
      <c r="D34">
        <v>199</v>
      </c>
      <c r="F34">
        <f>D34*15</f>
        <v>2985</v>
      </c>
      <c r="H34" t="s">
        <v>58</v>
      </c>
      <c r="I34" t="s">
        <v>78</v>
      </c>
      <c r="J34">
        <v>112.61923333333399</v>
      </c>
      <c r="K34">
        <v>77.648174999999995</v>
      </c>
      <c r="L34">
        <v>1.4</v>
      </c>
      <c r="M34" s="5">
        <v>6.2684999999999995E-8</v>
      </c>
      <c r="N34" s="6" t="s">
        <v>30</v>
      </c>
      <c r="O34" s="6">
        <v>30.390599999999999</v>
      </c>
      <c r="P34" t="s">
        <v>68</v>
      </c>
      <c r="Q34">
        <v>15</v>
      </c>
    </row>
    <row r="35" spans="1:17" x14ac:dyDescent="0.2">
      <c r="A35" s="2">
        <v>33</v>
      </c>
      <c r="B35" t="s">
        <v>14</v>
      </c>
      <c r="C35" t="s">
        <v>53</v>
      </c>
      <c r="D35">
        <v>449</v>
      </c>
      <c r="F35">
        <f>D35*15</f>
        <v>6735</v>
      </c>
      <c r="H35" t="s">
        <v>21</v>
      </c>
      <c r="I35" t="s">
        <v>78</v>
      </c>
      <c r="J35">
        <v>112.61923333333399</v>
      </c>
      <c r="K35">
        <v>77.648174999999995</v>
      </c>
      <c r="L35">
        <v>1.1399999999999999</v>
      </c>
      <c r="M35" s="5">
        <v>1.151685E-7</v>
      </c>
      <c r="N35" s="6" t="s">
        <v>30</v>
      </c>
      <c r="O35" s="6">
        <v>30.390599999999999</v>
      </c>
      <c r="P35" t="s">
        <v>68</v>
      </c>
      <c r="Q35">
        <v>15</v>
      </c>
    </row>
    <row r="36" spans="1:17" x14ac:dyDescent="0.2">
      <c r="A36" s="2">
        <v>34</v>
      </c>
      <c r="B36" t="s">
        <v>7</v>
      </c>
      <c r="C36" t="s">
        <v>77</v>
      </c>
      <c r="D36">
        <v>211</v>
      </c>
      <c r="E36">
        <v>144</v>
      </c>
      <c r="F36">
        <v>27600</v>
      </c>
      <c r="H36" t="s">
        <v>61</v>
      </c>
      <c r="I36" t="s">
        <v>78</v>
      </c>
      <c r="J36">
        <v>112.61923333333399</v>
      </c>
      <c r="K36">
        <v>77.648174999999995</v>
      </c>
      <c r="L36">
        <v>1.522</v>
      </c>
      <c r="M36" s="5">
        <v>6.3010800000000002E-7</v>
      </c>
      <c r="N36" s="6" t="s">
        <v>30</v>
      </c>
      <c r="O36" s="6">
        <v>30.390599999999999</v>
      </c>
      <c r="P36" t="s">
        <v>68</v>
      </c>
      <c r="Q36">
        <v>15</v>
      </c>
    </row>
    <row r="37" spans="1:17" x14ac:dyDescent="0.2">
      <c r="A37" s="2">
        <v>35</v>
      </c>
      <c r="B37" t="s">
        <v>7</v>
      </c>
      <c r="C37" t="s">
        <v>51</v>
      </c>
      <c r="D37">
        <v>127</v>
      </c>
      <c r="E37">
        <v>88</v>
      </c>
      <c r="F37">
        <v>28400</v>
      </c>
      <c r="H37" t="s">
        <v>34</v>
      </c>
      <c r="I37" t="s">
        <v>78</v>
      </c>
      <c r="J37">
        <v>112.61923333333399</v>
      </c>
      <c r="K37">
        <v>77.648174999999995</v>
      </c>
      <c r="L37">
        <v>1.1000000000000001</v>
      </c>
      <c r="M37" s="5">
        <v>4.686E-7</v>
      </c>
      <c r="N37" s="6" t="s">
        <v>30</v>
      </c>
      <c r="O37" s="6">
        <v>30.390599999999999</v>
      </c>
      <c r="P37" t="s">
        <v>68</v>
      </c>
      <c r="Q37">
        <v>15</v>
      </c>
    </row>
    <row r="38" spans="1:17" x14ac:dyDescent="0.2">
      <c r="A38" s="2">
        <v>36</v>
      </c>
      <c r="B38" t="s">
        <v>14</v>
      </c>
      <c r="C38" t="s">
        <v>53</v>
      </c>
      <c r="D38">
        <v>1010</v>
      </c>
      <c r="F38">
        <f>D38*15</f>
        <v>15150</v>
      </c>
      <c r="H38" t="s">
        <v>54</v>
      </c>
      <c r="I38" t="s">
        <v>79</v>
      </c>
      <c r="J38">
        <v>118.639725</v>
      </c>
      <c r="K38">
        <v>77.363725000000002</v>
      </c>
      <c r="L38">
        <v>1.1599999999999999</v>
      </c>
      <c r="M38" s="5">
        <v>2.6361000000000002E-7</v>
      </c>
      <c r="N38" s="6" t="s">
        <v>30</v>
      </c>
      <c r="O38" s="6">
        <v>30.414300000000001</v>
      </c>
      <c r="P38" t="s">
        <v>68</v>
      </c>
      <c r="Q38">
        <v>15</v>
      </c>
    </row>
    <row r="39" spans="1:17" x14ac:dyDescent="0.2">
      <c r="A39" s="2">
        <v>37</v>
      </c>
      <c r="B39" t="s">
        <v>7</v>
      </c>
      <c r="C39" t="s">
        <v>80</v>
      </c>
      <c r="D39">
        <v>1039</v>
      </c>
      <c r="E39">
        <v>52</v>
      </c>
      <c r="F39">
        <v>75000</v>
      </c>
      <c r="H39" t="s">
        <v>19</v>
      </c>
      <c r="I39" t="s">
        <v>79</v>
      </c>
      <c r="J39">
        <v>118.639725</v>
      </c>
      <c r="K39">
        <v>77.363725000000002</v>
      </c>
      <c r="L39">
        <v>0.94599999999999995</v>
      </c>
      <c r="M39" s="5">
        <v>1.06425E-6</v>
      </c>
      <c r="N39" s="6" t="s">
        <v>30</v>
      </c>
      <c r="O39" s="6">
        <v>30.414300000000001</v>
      </c>
      <c r="P39" t="s">
        <v>68</v>
      </c>
      <c r="Q39">
        <v>15</v>
      </c>
    </row>
    <row r="40" spans="1:17" x14ac:dyDescent="0.2">
      <c r="A40" s="2">
        <v>38</v>
      </c>
      <c r="B40" t="s">
        <v>7</v>
      </c>
      <c r="C40" t="s">
        <v>60</v>
      </c>
      <c r="D40">
        <v>481</v>
      </c>
      <c r="E40">
        <v>326</v>
      </c>
      <c r="F40">
        <v>104490</v>
      </c>
      <c r="H40" t="s">
        <v>70</v>
      </c>
      <c r="I40" t="s">
        <v>79</v>
      </c>
      <c r="J40">
        <v>118.639725</v>
      </c>
      <c r="K40">
        <v>77.363725000000002</v>
      </c>
      <c r="L40">
        <v>2.2000000000000002</v>
      </c>
      <c r="M40" s="5">
        <v>3.4481699999999999E-6</v>
      </c>
      <c r="N40" s="6" t="s">
        <v>30</v>
      </c>
      <c r="O40" s="6">
        <v>30.414300000000001</v>
      </c>
      <c r="P40" t="s">
        <v>68</v>
      </c>
      <c r="Q40">
        <v>15</v>
      </c>
    </row>
    <row r="41" spans="1:17" x14ac:dyDescent="0.2">
      <c r="A41" s="2">
        <v>39</v>
      </c>
      <c r="B41" t="s">
        <v>7</v>
      </c>
      <c r="C41" t="s">
        <v>81</v>
      </c>
      <c r="D41">
        <v>372</v>
      </c>
      <c r="E41">
        <v>37</v>
      </c>
      <c r="F41">
        <v>13800</v>
      </c>
      <c r="H41" t="s">
        <v>34</v>
      </c>
      <c r="I41" t="s">
        <v>79</v>
      </c>
      <c r="J41">
        <v>118.639725</v>
      </c>
      <c r="K41">
        <v>77.363725000000002</v>
      </c>
      <c r="L41">
        <v>1.1000000000000001</v>
      </c>
      <c r="M41" s="5">
        <v>2.2770000000000001E-7</v>
      </c>
      <c r="N41" s="6" t="s">
        <v>30</v>
      </c>
      <c r="O41" s="6">
        <v>30.414300000000001</v>
      </c>
      <c r="P41" t="s">
        <v>68</v>
      </c>
      <c r="Q41">
        <v>15</v>
      </c>
    </row>
    <row r="42" spans="1:17" x14ac:dyDescent="0.2">
      <c r="A42" s="2">
        <v>40</v>
      </c>
      <c r="B42" t="s">
        <v>14</v>
      </c>
      <c r="C42" t="s">
        <v>53</v>
      </c>
      <c r="D42">
        <v>3661</v>
      </c>
      <c r="F42">
        <f>D42*15</f>
        <v>54915</v>
      </c>
      <c r="H42" t="s">
        <v>58</v>
      </c>
      <c r="I42" t="s">
        <v>82</v>
      </c>
      <c r="J42">
        <v>123.77163333333399</v>
      </c>
      <c r="K42">
        <v>76.986450000000005</v>
      </c>
      <c r="L42">
        <v>1.4</v>
      </c>
      <c r="M42" s="5">
        <v>1.153215E-6</v>
      </c>
      <c r="N42" s="6" t="s">
        <v>30</v>
      </c>
      <c r="O42" s="6">
        <v>28.502199999999998</v>
      </c>
      <c r="P42" t="s">
        <v>68</v>
      </c>
      <c r="Q42">
        <v>15</v>
      </c>
    </row>
    <row r="43" spans="1:17" x14ac:dyDescent="0.2">
      <c r="A43" s="2">
        <v>41</v>
      </c>
      <c r="B43" t="s">
        <v>14</v>
      </c>
      <c r="C43" t="s">
        <v>53</v>
      </c>
      <c r="D43">
        <v>925</v>
      </c>
      <c r="F43">
        <f>D43*15</f>
        <v>13875</v>
      </c>
      <c r="H43" t="s">
        <v>58</v>
      </c>
      <c r="I43" t="s">
        <v>82</v>
      </c>
      <c r="J43">
        <v>123.77163333333399</v>
      </c>
      <c r="K43">
        <v>76.986450000000005</v>
      </c>
      <c r="L43">
        <v>1.4</v>
      </c>
      <c r="M43" s="5">
        <v>2.9137499999999997E-7</v>
      </c>
      <c r="N43" s="6" t="s">
        <v>30</v>
      </c>
      <c r="O43" s="6">
        <v>28.502199999999998</v>
      </c>
      <c r="P43" t="s">
        <v>68</v>
      </c>
      <c r="Q43">
        <v>15</v>
      </c>
    </row>
    <row r="44" spans="1:17" x14ac:dyDescent="0.2">
      <c r="A44" s="2">
        <v>42</v>
      </c>
      <c r="B44" t="s">
        <v>14</v>
      </c>
      <c r="C44" t="s">
        <v>53</v>
      </c>
      <c r="D44">
        <v>455</v>
      </c>
      <c r="F44">
        <f>D44*15</f>
        <v>6825</v>
      </c>
      <c r="H44" t="s">
        <v>58</v>
      </c>
      <c r="I44" t="s">
        <v>82</v>
      </c>
      <c r="J44">
        <v>123.77163333333399</v>
      </c>
      <c r="K44">
        <v>76.986450000000005</v>
      </c>
      <c r="L44">
        <v>1.4</v>
      </c>
      <c r="M44" s="5">
        <v>1.4332499999999999E-7</v>
      </c>
      <c r="N44" s="6" t="s">
        <v>30</v>
      </c>
      <c r="O44" s="6">
        <v>28.502199999999998</v>
      </c>
      <c r="P44" t="s">
        <v>68</v>
      </c>
      <c r="Q44">
        <v>15</v>
      </c>
    </row>
    <row r="45" spans="1:17" x14ac:dyDescent="0.2">
      <c r="A45" s="2">
        <v>43</v>
      </c>
      <c r="B45" t="s">
        <v>14</v>
      </c>
      <c r="C45" t="s">
        <v>83</v>
      </c>
      <c r="D45">
        <v>1864</v>
      </c>
      <c r="F45">
        <f>D45*15</f>
        <v>27960</v>
      </c>
      <c r="H45" t="s">
        <v>58</v>
      </c>
      <c r="I45" t="s">
        <v>84</v>
      </c>
      <c r="J45">
        <v>129.10159166666699</v>
      </c>
      <c r="K45">
        <v>76.841641666666703</v>
      </c>
      <c r="L45">
        <v>1.4</v>
      </c>
      <c r="M45" s="5">
        <v>5.8716000000000002E-7</v>
      </c>
      <c r="N45" s="6" t="s">
        <v>30</v>
      </c>
      <c r="O45" s="6">
        <v>30.496500000000001</v>
      </c>
      <c r="P45" t="s">
        <v>68</v>
      </c>
      <c r="Q45">
        <v>15</v>
      </c>
    </row>
    <row r="46" spans="1:17" x14ac:dyDescent="0.2">
      <c r="A46" s="2">
        <v>44</v>
      </c>
      <c r="B46" t="s">
        <v>7</v>
      </c>
      <c r="C46" t="s">
        <v>72</v>
      </c>
      <c r="D46">
        <v>923</v>
      </c>
      <c r="E46">
        <v>344</v>
      </c>
      <c r="F46">
        <v>270000</v>
      </c>
      <c r="G46" t="s">
        <v>49</v>
      </c>
      <c r="H46" t="s">
        <v>9</v>
      </c>
      <c r="I46" t="s">
        <v>85</v>
      </c>
      <c r="J46">
        <v>136.47906666666699</v>
      </c>
      <c r="K46">
        <v>76.864658333333395</v>
      </c>
      <c r="L46">
        <v>0.92300000000000004</v>
      </c>
      <c r="M46" s="5">
        <v>3.7381499999999999E-6</v>
      </c>
      <c r="N46" s="4" t="s">
        <v>30</v>
      </c>
      <c r="O46" s="4">
        <v>24.934100000000001</v>
      </c>
      <c r="P46" t="s">
        <v>23</v>
      </c>
      <c r="Q46">
        <v>15</v>
      </c>
    </row>
    <row r="47" spans="1:17" x14ac:dyDescent="0.2">
      <c r="A47" s="2">
        <v>45</v>
      </c>
      <c r="B47" t="s">
        <v>14</v>
      </c>
      <c r="C47" t="s">
        <v>86</v>
      </c>
      <c r="D47">
        <v>403</v>
      </c>
      <c r="F47">
        <f>D47*15</f>
        <v>6045</v>
      </c>
      <c r="H47" t="s">
        <v>54</v>
      </c>
      <c r="I47" t="s">
        <v>87</v>
      </c>
      <c r="J47">
        <v>144.51466666666701</v>
      </c>
      <c r="K47">
        <v>76.712225000000004</v>
      </c>
      <c r="L47">
        <v>1.1599999999999999</v>
      </c>
      <c r="M47" s="5">
        <v>1.05183E-7</v>
      </c>
      <c r="N47" s="4" t="s">
        <v>25</v>
      </c>
      <c r="O47" s="4">
        <v>20.5382</v>
      </c>
      <c r="P47" t="s">
        <v>23</v>
      </c>
      <c r="Q47">
        <v>15</v>
      </c>
    </row>
    <row r="48" spans="1:17" x14ac:dyDescent="0.2">
      <c r="A48" s="2">
        <v>46</v>
      </c>
      <c r="B48" t="s">
        <v>14</v>
      </c>
      <c r="C48" t="s">
        <v>86</v>
      </c>
      <c r="D48">
        <v>366</v>
      </c>
      <c r="F48">
        <f>D48*15</f>
        <v>5490</v>
      </c>
      <c r="H48" t="s">
        <v>54</v>
      </c>
      <c r="I48" t="s">
        <v>87</v>
      </c>
      <c r="J48">
        <v>144.51466666666701</v>
      </c>
      <c r="K48">
        <v>76.712225000000004</v>
      </c>
      <c r="L48">
        <v>1.1599999999999999</v>
      </c>
      <c r="M48" s="5">
        <v>9.5526000000000005E-8</v>
      </c>
      <c r="N48" s="4" t="s">
        <v>25</v>
      </c>
      <c r="O48" s="4">
        <v>20.5382</v>
      </c>
      <c r="P48" t="s">
        <v>23</v>
      </c>
      <c r="Q48">
        <v>15</v>
      </c>
    </row>
    <row r="49" spans="1:17" x14ac:dyDescent="0.2">
      <c r="A49" s="2">
        <v>47</v>
      </c>
      <c r="B49" t="s">
        <v>14</v>
      </c>
      <c r="C49" t="s">
        <v>86</v>
      </c>
      <c r="D49">
        <v>199</v>
      </c>
      <c r="F49">
        <f>D49*15</f>
        <v>2985</v>
      </c>
      <c r="H49" t="s">
        <v>54</v>
      </c>
      <c r="I49" t="s">
        <v>87</v>
      </c>
      <c r="J49">
        <v>144.51466666666701</v>
      </c>
      <c r="K49">
        <v>76.712225000000004</v>
      </c>
      <c r="L49">
        <v>1.1599999999999999</v>
      </c>
      <c r="M49" s="5">
        <v>5.1938999999999999E-8</v>
      </c>
      <c r="N49" s="4" t="s">
        <v>25</v>
      </c>
      <c r="O49" s="4">
        <v>20.5382</v>
      </c>
      <c r="P49" t="s">
        <v>23</v>
      </c>
      <c r="Q49">
        <v>15</v>
      </c>
    </row>
    <row r="50" spans="1:17" x14ac:dyDescent="0.2">
      <c r="A50" s="2">
        <v>48</v>
      </c>
      <c r="B50" t="s">
        <v>14</v>
      </c>
      <c r="C50" t="s">
        <v>86</v>
      </c>
      <c r="D50">
        <v>1437</v>
      </c>
      <c r="F50">
        <f>D50*15</f>
        <v>21555</v>
      </c>
      <c r="H50" t="s">
        <v>54</v>
      </c>
      <c r="I50" t="s">
        <v>87</v>
      </c>
      <c r="J50">
        <v>144.51466666666701</v>
      </c>
      <c r="K50">
        <v>76.712225000000004</v>
      </c>
      <c r="L50">
        <v>1.1599999999999999</v>
      </c>
      <c r="M50" s="5">
        <v>3.7505699999999999E-7</v>
      </c>
      <c r="N50" s="4" t="s">
        <v>25</v>
      </c>
      <c r="O50" s="4">
        <v>20.5382</v>
      </c>
      <c r="P50" t="s">
        <v>23</v>
      </c>
      <c r="Q50">
        <v>15</v>
      </c>
    </row>
    <row r="51" spans="1:17" x14ac:dyDescent="0.2">
      <c r="A51" s="2">
        <v>49</v>
      </c>
      <c r="B51" t="s">
        <v>14</v>
      </c>
      <c r="C51" t="s">
        <v>86</v>
      </c>
      <c r="D51">
        <v>459</v>
      </c>
      <c r="F51">
        <f>D51*15</f>
        <v>6885</v>
      </c>
      <c r="H51" t="s">
        <v>19</v>
      </c>
      <c r="I51" t="s">
        <v>88</v>
      </c>
      <c r="J51">
        <v>148.67060000000001</v>
      </c>
      <c r="K51">
        <v>76.683633333333304</v>
      </c>
      <c r="L51">
        <v>0.94599999999999995</v>
      </c>
      <c r="M51" s="5">
        <v>9.7698149999999994E-8</v>
      </c>
      <c r="N51" s="4" t="s">
        <v>25</v>
      </c>
      <c r="O51" s="4">
        <v>25.003699999999998</v>
      </c>
      <c r="P51" t="s">
        <v>23</v>
      </c>
      <c r="Q51">
        <v>15</v>
      </c>
    </row>
    <row r="52" spans="1:17" x14ac:dyDescent="0.2">
      <c r="A52" s="2">
        <v>50</v>
      </c>
      <c r="B52" t="s">
        <v>7</v>
      </c>
      <c r="C52" t="s">
        <v>60</v>
      </c>
      <c r="D52">
        <v>500</v>
      </c>
      <c r="E52">
        <v>47</v>
      </c>
      <c r="F52">
        <v>11000</v>
      </c>
      <c r="H52" t="s">
        <v>50</v>
      </c>
      <c r="I52" t="s">
        <v>88</v>
      </c>
      <c r="J52">
        <v>148.67060000000001</v>
      </c>
      <c r="K52">
        <v>76.683633333333304</v>
      </c>
      <c r="L52">
        <v>1.18</v>
      </c>
      <c r="M52" s="5">
        <v>1.9469999999999999E-7</v>
      </c>
      <c r="N52" s="4" t="s">
        <v>25</v>
      </c>
      <c r="O52" s="4">
        <v>25.003699999999998</v>
      </c>
      <c r="P52" t="s">
        <v>23</v>
      </c>
      <c r="Q52">
        <v>15</v>
      </c>
    </row>
    <row r="53" spans="1:17" x14ac:dyDescent="0.2">
      <c r="A53" s="2">
        <v>51</v>
      </c>
      <c r="B53" t="s">
        <v>7</v>
      </c>
      <c r="C53" t="s">
        <v>89</v>
      </c>
      <c r="D53">
        <v>203</v>
      </c>
      <c r="E53">
        <v>155</v>
      </c>
      <c r="F53">
        <v>25000</v>
      </c>
      <c r="H53" t="s">
        <v>34</v>
      </c>
      <c r="I53" t="s">
        <v>88</v>
      </c>
      <c r="J53">
        <v>148.67060000000001</v>
      </c>
      <c r="K53">
        <v>76.683633333333304</v>
      </c>
      <c r="L53">
        <v>1.1000000000000001</v>
      </c>
      <c r="M53" s="5">
        <v>4.1250000000000002E-7</v>
      </c>
      <c r="N53" s="4" t="s">
        <v>25</v>
      </c>
      <c r="O53" s="4">
        <v>25.003699999999998</v>
      </c>
      <c r="P53" t="s">
        <v>23</v>
      </c>
      <c r="Q53">
        <v>15</v>
      </c>
    </row>
    <row r="54" spans="1:17" x14ac:dyDescent="0.2">
      <c r="A54" s="2">
        <v>52</v>
      </c>
      <c r="B54" t="s">
        <v>14</v>
      </c>
      <c r="C54" t="s">
        <v>53</v>
      </c>
      <c r="D54">
        <v>5239</v>
      </c>
      <c r="F54">
        <f>D54*15</f>
        <v>78585</v>
      </c>
      <c r="H54" t="s">
        <v>58</v>
      </c>
      <c r="I54" t="s">
        <v>90</v>
      </c>
      <c r="J54">
        <v>148.97400833333299</v>
      </c>
      <c r="K54">
        <v>76.679591666666695</v>
      </c>
      <c r="L54">
        <v>1.4</v>
      </c>
      <c r="M54" s="5">
        <v>1.6502849999999999E-6</v>
      </c>
      <c r="N54" s="4" t="s">
        <v>25</v>
      </c>
      <c r="O54" s="4">
        <v>25.1341</v>
      </c>
      <c r="P54" t="s">
        <v>23</v>
      </c>
      <c r="Q54">
        <v>15</v>
      </c>
    </row>
    <row r="55" spans="1:17" x14ac:dyDescent="0.2">
      <c r="A55" s="2">
        <v>53</v>
      </c>
      <c r="B55" t="s">
        <v>7</v>
      </c>
      <c r="C55" t="s">
        <v>80</v>
      </c>
      <c r="D55">
        <v>309</v>
      </c>
      <c r="E55">
        <v>309</v>
      </c>
      <c r="F55">
        <v>61000</v>
      </c>
      <c r="G55" t="s">
        <v>49</v>
      </c>
      <c r="H55" t="s">
        <v>9</v>
      </c>
      <c r="I55" t="s">
        <v>90</v>
      </c>
      <c r="J55">
        <v>148.97400833333299</v>
      </c>
      <c r="K55">
        <v>76.679591666666695</v>
      </c>
      <c r="L55">
        <v>0.92300000000000004</v>
      </c>
      <c r="M55" s="5">
        <v>8.44545E-7</v>
      </c>
      <c r="N55" s="4" t="s">
        <v>25</v>
      </c>
      <c r="O55" s="4">
        <v>25.1341</v>
      </c>
      <c r="P55" t="s">
        <v>23</v>
      </c>
      <c r="Q55">
        <v>15</v>
      </c>
    </row>
    <row r="56" spans="1:17" x14ac:dyDescent="0.2">
      <c r="A56" s="2">
        <v>54</v>
      </c>
      <c r="B56" t="s">
        <v>14</v>
      </c>
      <c r="C56" t="s">
        <v>53</v>
      </c>
      <c r="D56">
        <v>5239</v>
      </c>
      <c r="F56">
        <f>D56*15</f>
        <v>78585</v>
      </c>
      <c r="H56" t="s">
        <v>54</v>
      </c>
      <c r="I56" t="s">
        <v>91</v>
      </c>
      <c r="J56">
        <v>151.647066666667</v>
      </c>
      <c r="K56">
        <v>76.455466666666695</v>
      </c>
      <c r="L56">
        <v>1.1599999999999999</v>
      </c>
      <c r="M56" s="5">
        <v>1.3673790000000001E-6</v>
      </c>
      <c r="N56" s="4" t="s">
        <v>25</v>
      </c>
      <c r="O56" s="4">
        <v>24.880700000000001</v>
      </c>
      <c r="P56" t="s">
        <v>23</v>
      </c>
      <c r="Q56">
        <v>15</v>
      </c>
    </row>
    <row r="57" spans="1:17" x14ac:dyDescent="0.2">
      <c r="A57" s="2">
        <v>55</v>
      </c>
      <c r="B57" t="s">
        <v>14</v>
      </c>
      <c r="C57" t="s">
        <v>53</v>
      </c>
      <c r="D57">
        <v>2177</v>
      </c>
      <c r="F57">
        <f>D57*15</f>
        <v>32655</v>
      </c>
      <c r="H57" t="s">
        <v>54</v>
      </c>
      <c r="I57" t="s">
        <v>92</v>
      </c>
      <c r="J57">
        <v>156.52883333333401</v>
      </c>
      <c r="K57">
        <v>75.872699999999995</v>
      </c>
      <c r="L57">
        <v>1.1599999999999999</v>
      </c>
      <c r="M57" s="5">
        <v>5.6819700000000004E-7</v>
      </c>
      <c r="N57" s="4" t="s">
        <v>25</v>
      </c>
      <c r="O57" s="4">
        <v>21.765000000000001</v>
      </c>
      <c r="P57" t="s">
        <v>23</v>
      </c>
      <c r="Q57">
        <v>15</v>
      </c>
    </row>
    <row r="58" spans="1:17" x14ac:dyDescent="0.2">
      <c r="A58" s="2">
        <v>56</v>
      </c>
      <c r="B58" t="s">
        <v>7</v>
      </c>
      <c r="C58" t="s">
        <v>86</v>
      </c>
      <c r="D58">
        <v>240</v>
      </c>
      <c r="E58">
        <v>51</v>
      </c>
      <c r="F58">
        <v>12200</v>
      </c>
      <c r="H58" t="s">
        <v>21</v>
      </c>
      <c r="I58" t="s">
        <v>93</v>
      </c>
      <c r="J58">
        <v>159.79753333333301</v>
      </c>
      <c r="K58">
        <v>75.222366666666602</v>
      </c>
      <c r="L58">
        <v>1.1399999999999999</v>
      </c>
      <c r="M58" s="5">
        <v>2.0862E-7</v>
      </c>
      <c r="N58" s="4" t="s">
        <v>25</v>
      </c>
      <c r="O58" s="4">
        <v>24.8977</v>
      </c>
      <c r="P58" t="s">
        <v>23</v>
      </c>
      <c r="Q58">
        <v>15</v>
      </c>
    </row>
    <row r="59" spans="1:17" x14ac:dyDescent="0.2">
      <c r="A59" s="2">
        <v>57</v>
      </c>
      <c r="B59" t="s">
        <v>14</v>
      </c>
      <c r="C59" t="s">
        <v>83</v>
      </c>
      <c r="D59">
        <v>229</v>
      </c>
      <c r="F59">
        <f>D59*15</f>
        <v>3435</v>
      </c>
      <c r="H59" t="s">
        <v>54</v>
      </c>
      <c r="I59" t="s">
        <v>94</v>
      </c>
      <c r="J59">
        <v>160.74385000000001</v>
      </c>
      <c r="K59">
        <v>74.941566666666702</v>
      </c>
      <c r="L59">
        <v>1.1599999999999999</v>
      </c>
      <c r="M59" s="5">
        <v>5.9768999999999997E-8</v>
      </c>
      <c r="N59" s="4" t="s">
        <v>25</v>
      </c>
      <c r="O59" s="4">
        <v>26.012799999999999</v>
      </c>
      <c r="P59" t="s">
        <v>23</v>
      </c>
      <c r="Q59">
        <v>15</v>
      </c>
    </row>
    <row r="60" spans="1:17" x14ac:dyDescent="0.2">
      <c r="A60" s="2">
        <v>58</v>
      </c>
      <c r="B60" t="s">
        <v>7</v>
      </c>
      <c r="C60" t="s">
        <v>60</v>
      </c>
      <c r="D60">
        <v>435</v>
      </c>
      <c r="E60">
        <v>156</v>
      </c>
      <c r="F60">
        <v>60000</v>
      </c>
      <c r="H60" t="s">
        <v>70</v>
      </c>
      <c r="I60" t="s">
        <v>95</v>
      </c>
      <c r="J60">
        <v>163.16307499999999</v>
      </c>
      <c r="K60">
        <v>74.921583333333402</v>
      </c>
      <c r="L60">
        <v>2.2000000000000002</v>
      </c>
      <c r="M60" s="5">
        <v>1.9800000000000001E-6</v>
      </c>
      <c r="N60" s="4" t="s">
        <v>25</v>
      </c>
      <c r="O60" s="4">
        <v>26.0442</v>
      </c>
      <c r="P60" t="s">
        <v>23</v>
      </c>
      <c r="Q60">
        <v>15</v>
      </c>
    </row>
    <row r="61" spans="1:17" x14ac:dyDescent="0.2">
      <c r="A61" s="2">
        <v>59</v>
      </c>
      <c r="B61" t="s">
        <v>14</v>
      </c>
      <c r="C61" t="s">
        <v>53</v>
      </c>
      <c r="D61">
        <v>284</v>
      </c>
      <c r="F61">
        <f t="shared" ref="F61:F84" si="1">D61*15</f>
        <v>4260</v>
      </c>
      <c r="H61" t="s">
        <v>58</v>
      </c>
      <c r="I61" t="s">
        <v>96</v>
      </c>
      <c r="J61">
        <v>160.85696666666701</v>
      </c>
      <c r="K61">
        <v>74.919049999999999</v>
      </c>
      <c r="L61">
        <v>1.4</v>
      </c>
      <c r="M61" s="5">
        <v>8.9459999999999995E-8</v>
      </c>
      <c r="N61" s="4" t="s">
        <v>25</v>
      </c>
      <c r="O61" s="4">
        <v>25.889099999999999</v>
      </c>
      <c r="P61" t="s">
        <v>23</v>
      </c>
      <c r="Q61">
        <v>15</v>
      </c>
    </row>
    <row r="62" spans="1:17" x14ac:dyDescent="0.2">
      <c r="A62" s="2">
        <v>60</v>
      </c>
      <c r="B62" t="s">
        <v>14</v>
      </c>
      <c r="C62" t="s">
        <v>53</v>
      </c>
      <c r="D62">
        <v>260</v>
      </c>
      <c r="F62">
        <f t="shared" si="1"/>
        <v>3900</v>
      </c>
      <c r="H62" t="s">
        <v>58</v>
      </c>
      <c r="I62" t="s">
        <v>96</v>
      </c>
      <c r="J62">
        <v>160.85696666666701</v>
      </c>
      <c r="K62">
        <v>74.919049999999999</v>
      </c>
      <c r="L62">
        <v>1.4</v>
      </c>
      <c r="M62" s="5">
        <v>8.1899999999999999E-8</v>
      </c>
      <c r="N62" s="4" t="s">
        <v>25</v>
      </c>
      <c r="O62" s="4">
        <v>25.889099999999999</v>
      </c>
      <c r="P62" t="s">
        <v>23</v>
      </c>
      <c r="Q62">
        <v>15</v>
      </c>
    </row>
    <row r="63" spans="1:17" x14ac:dyDescent="0.2">
      <c r="A63" s="2">
        <v>61</v>
      </c>
      <c r="B63" t="s">
        <v>14</v>
      </c>
      <c r="C63" t="s">
        <v>53</v>
      </c>
      <c r="D63">
        <v>5211</v>
      </c>
      <c r="F63">
        <f t="shared" si="1"/>
        <v>78165</v>
      </c>
      <c r="H63" t="s">
        <v>58</v>
      </c>
      <c r="I63" t="s">
        <v>97</v>
      </c>
      <c r="J63">
        <v>160.87503333333399</v>
      </c>
      <c r="K63">
        <v>74.922316666666603</v>
      </c>
      <c r="L63">
        <v>1.4</v>
      </c>
      <c r="M63" s="5">
        <v>1.641465E-6</v>
      </c>
      <c r="N63" s="4" t="s">
        <v>25</v>
      </c>
      <c r="O63" s="4">
        <v>25.947800000000001</v>
      </c>
      <c r="P63" t="s">
        <v>23</v>
      </c>
      <c r="Q63">
        <v>15</v>
      </c>
    </row>
    <row r="64" spans="1:17" x14ac:dyDescent="0.2">
      <c r="A64" s="2">
        <v>62</v>
      </c>
      <c r="B64" t="s">
        <v>14</v>
      </c>
      <c r="C64" t="s">
        <v>53</v>
      </c>
      <c r="D64">
        <v>955</v>
      </c>
      <c r="F64">
        <f t="shared" si="1"/>
        <v>14325</v>
      </c>
      <c r="H64" t="s">
        <v>58</v>
      </c>
      <c r="I64" t="s">
        <v>98</v>
      </c>
      <c r="J64">
        <v>160.94493333333301</v>
      </c>
      <c r="K64">
        <v>74.911966666666601</v>
      </c>
      <c r="L64">
        <v>1.4</v>
      </c>
      <c r="M64" s="5">
        <v>3.00825E-7</v>
      </c>
      <c r="N64" s="4" t="s">
        <v>25</v>
      </c>
      <c r="O64" s="4">
        <v>26.047499999999999</v>
      </c>
      <c r="P64" t="s">
        <v>23</v>
      </c>
      <c r="Q64">
        <v>15</v>
      </c>
    </row>
    <row r="65" spans="1:17" x14ac:dyDescent="0.2">
      <c r="A65" s="2">
        <v>63</v>
      </c>
      <c r="B65" t="s">
        <v>14</v>
      </c>
      <c r="C65" t="s">
        <v>53</v>
      </c>
      <c r="D65">
        <v>1060</v>
      </c>
      <c r="F65">
        <f t="shared" si="1"/>
        <v>15900</v>
      </c>
      <c r="H65" t="s">
        <v>58</v>
      </c>
      <c r="I65" t="s">
        <v>99</v>
      </c>
      <c r="J65">
        <v>151.328925</v>
      </c>
      <c r="K65">
        <v>73.530191666666695</v>
      </c>
      <c r="L65">
        <v>1.4</v>
      </c>
      <c r="M65" s="5">
        <v>3.3389999999999999E-7</v>
      </c>
      <c r="N65" s="4" t="s">
        <v>25</v>
      </c>
      <c r="O65" s="4">
        <v>20.547000000000001</v>
      </c>
      <c r="P65" t="s">
        <v>23</v>
      </c>
      <c r="Q65">
        <v>15</v>
      </c>
    </row>
    <row r="66" spans="1:17" x14ac:dyDescent="0.2">
      <c r="A66" s="2">
        <v>64</v>
      </c>
      <c r="B66" t="s">
        <v>14</v>
      </c>
      <c r="C66" t="s">
        <v>53</v>
      </c>
      <c r="D66">
        <v>840</v>
      </c>
      <c r="F66">
        <f t="shared" si="1"/>
        <v>12600</v>
      </c>
      <c r="H66" t="s">
        <v>54</v>
      </c>
      <c r="I66" t="s">
        <v>100</v>
      </c>
      <c r="J66">
        <v>142.954366666666</v>
      </c>
      <c r="K66">
        <v>72.970008333333297</v>
      </c>
      <c r="L66">
        <v>1.1599999999999999</v>
      </c>
      <c r="M66" s="5">
        <v>2.1924E-7</v>
      </c>
      <c r="N66" s="4" t="s">
        <v>25</v>
      </c>
      <c r="O66" s="4">
        <v>18.5076</v>
      </c>
      <c r="P66" t="s">
        <v>23</v>
      </c>
      <c r="Q66">
        <v>15</v>
      </c>
    </row>
    <row r="67" spans="1:17" x14ac:dyDescent="0.2">
      <c r="A67" s="2">
        <v>65</v>
      </c>
      <c r="B67" t="s">
        <v>14</v>
      </c>
      <c r="C67" t="s">
        <v>53</v>
      </c>
      <c r="D67">
        <v>454</v>
      </c>
      <c r="F67">
        <f t="shared" si="1"/>
        <v>6810</v>
      </c>
      <c r="H67" t="s">
        <v>58</v>
      </c>
      <c r="I67" t="s">
        <v>100</v>
      </c>
      <c r="J67">
        <v>142.954366666666</v>
      </c>
      <c r="K67">
        <v>72.970008333333297</v>
      </c>
      <c r="L67">
        <v>1.4</v>
      </c>
      <c r="M67" s="5">
        <v>1.4301000000000001E-7</v>
      </c>
      <c r="N67" s="4" t="s">
        <v>25</v>
      </c>
      <c r="O67" s="4">
        <v>18.5076</v>
      </c>
      <c r="P67" t="s">
        <v>23</v>
      </c>
      <c r="Q67">
        <v>15</v>
      </c>
    </row>
    <row r="68" spans="1:17" x14ac:dyDescent="0.2">
      <c r="A68" s="2">
        <v>66</v>
      </c>
      <c r="B68" t="s">
        <v>14</v>
      </c>
      <c r="C68" t="s">
        <v>53</v>
      </c>
      <c r="D68">
        <v>309</v>
      </c>
      <c r="F68">
        <f t="shared" si="1"/>
        <v>4635</v>
      </c>
      <c r="H68" t="s">
        <v>58</v>
      </c>
      <c r="I68" t="s">
        <v>100</v>
      </c>
      <c r="J68">
        <v>142.954366666666</v>
      </c>
      <c r="K68">
        <v>72.970008333333297</v>
      </c>
      <c r="L68">
        <v>1.4</v>
      </c>
      <c r="M68" s="5">
        <v>9.7335000000000004E-8</v>
      </c>
      <c r="N68" s="4" t="s">
        <v>25</v>
      </c>
      <c r="O68" s="4">
        <v>18.5076</v>
      </c>
      <c r="P68" t="s">
        <v>23</v>
      </c>
      <c r="Q68">
        <v>15</v>
      </c>
    </row>
    <row r="69" spans="1:17" x14ac:dyDescent="0.2">
      <c r="A69" s="2">
        <v>67</v>
      </c>
      <c r="B69" t="s">
        <v>14</v>
      </c>
      <c r="C69" t="s">
        <v>53</v>
      </c>
      <c r="D69">
        <v>161</v>
      </c>
      <c r="F69">
        <f t="shared" si="1"/>
        <v>2415</v>
      </c>
      <c r="H69" t="s">
        <v>58</v>
      </c>
      <c r="I69" t="s">
        <v>100</v>
      </c>
      <c r="J69">
        <v>142.954366666666</v>
      </c>
      <c r="K69">
        <v>72.970008333333297</v>
      </c>
      <c r="L69">
        <v>1.4</v>
      </c>
      <c r="M69" s="5">
        <v>5.0715000000000001E-8</v>
      </c>
      <c r="N69" s="4" t="s">
        <v>25</v>
      </c>
      <c r="O69" s="4">
        <v>18.5076</v>
      </c>
      <c r="P69" t="s">
        <v>23</v>
      </c>
      <c r="Q69">
        <v>15</v>
      </c>
    </row>
    <row r="70" spans="1:17" x14ac:dyDescent="0.2">
      <c r="A70" s="2">
        <v>68</v>
      </c>
      <c r="B70" t="s">
        <v>14</v>
      </c>
      <c r="C70" t="s">
        <v>53</v>
      </c>
      <c r="D70">
        <v>206</v>
      </c>
      <c r="F70">
        <f t="shared" si="1"/>
        <v>3090</v>
      </c>
      <c r="H70" t="s">
        <v>58</v>
      </c>
      <c r="I70" t="s">
        <v>100</v>
      </c>
      <c r="J70">
        <v>142.954366666666</v>
      </c>
      <c r="K70">
        <v>72.970008333333297</v>
      </c>
      <c r="L70">
        <v>1.4</v>
      </c>
      <c r="M70" s="5">
        <v>6.4889999999999994E-8</v>
      </c>
      <c r="N70" s="4" t="s">
        <v>25</v>
      </c>
      <c r="O70" s="4">
        <v>18.5076</v>
      </c>
      <c r="P70" t="s">
        <v>23</v>
      </c>
      <c r="Q70">
        <v>15</v>
      </c>
    </row>
    <row r="71" spans="1:17" x14ac:dyDescent="0.2">
      <c r="A71" s="2">
        <v>69</v>
      </c>
      <c r="B71" t="s">
        <v>14</v>
      </c>
      <c r="C71" t="s">
        <v>86</v>
      </c>
      <c r="D71">
        <v>2055</v>
      </c>
      <c r="F71">
        <f t="shared" si="1"/>
        <v>30825</v>
      </c>
      <c r="H71" t="s">
        <v>58</v>
      </c>
      <c r="I71" t="s">
        <v>100</v>
      </c>
      <c r="J71">
        <v>142.954366666666</v>
      </c>
      <c r="K71">
        <v>72.970008333333297</v>
      </c>
      <c r="L71">
        <v>1.4</v>
      </c>
      <c r="M71" s="5">
        <v>6.4732499999999998E-7</v>
      </c>
      <c r="N71" s="4" t="s">
        <v>25</v>
      </c>
      <c r="O71" s="4">
        <v>18.5076</v>
      </c>
      <c r="P71" t="s">
        <v>23</v>
      </c>
      <c r="Q71">
        <v>15</v>
      </c>
    </row>
    <row r="72" spans="1:17" x14ac:dyDescent="0.2">
      <c r="A72" s="2">
        <v>70</v>
      </c>
      <c r="B72" t="s">
        <v>14</v>
      </c>
      <c r="C72" t="s">
        <v>101</v>
      </c>
      <c r="D72">
        <v>637</v>
      </c>
      <c r="F72">
        <f t="shared" si="1"/>
        <v>9555</v>
      </c>
      <c r="H72" t="s">
        <v>54</v>
      </c>
      <c r="I72" t="s">
        <v>100</v>
      </c>
      <c r="J72">
        <v>142.954366666666</v>
      </c>
      <c r="K72">
        <v>72.970008333333297</v>
      </c>
      <c r="L72">
        <v>1.1599999999999999</v>
      </c>
      <c r="M72" s="5">
        <v>1.66257E-7</v>
      </c>
      <c r="N72" s="4" t="s">
        <v>25</v>
      </c>
      <c r="O72" s="4">
        <v>18.5076</v>
      </c>
      <c r="P72" t="s">
        <v>23</v>
      </c>
      <c r="Q72">
        <v>15</v>
      </c>
    </row>
    <row r="73" spans="1:17" x14ac:dyDescent="0.2">
      <c r="A73" s="2">
        <v>71</v>
      </c>
      <c r="B73" t="s">
        <v>14</v>
      </c>
      <c r="C73" t="s">
        <v>53</v>
      </c>
      <c r="D73">
        <v>5146</v>
      </c>
      <c r="F73">
        <f t="shared" si="1"/>
        <v>77190</v>
      </c>
      <c r="H73" t="s">
        <v>58</v>
      </c>
      <c r="I73" t="s">
        <v>102</v>
      </c>
      <c r="J73">
        <v>140.048433333334</v>
      </c>
      <c r="K73">
        <v>72.971100000000007</v>
      </c>
      <c r="L73">
        <v>1.4</v>
      </c>
      <c r="M73" s="5">
        <v>1.62099E-6</v>
      </c>
      <c r="N73" s="4" t="s">
        <v>25</v>
      </c>
      <c r="O73" s="4">
        <v>21.352699999999999</v>
      </c>
      <c r="P73" t="s">
        <v>23</v>
      </c>
      <c r="Q73">
        <v>15</v>
      </c>
    </row>
    <row r="74" spans="1:17" x14ac:dyDescent="0.2">
      <c r="A74" s="2">
        <v>72</v>
      </c>
      <c r="B74" t="s">
        <v>14</v>
      </c>
      <c r="C74" t="s">
        <v>44</v>
      </c>
      <c r="D74">
        <v>253</v>
      </c>
      <c r="F74">
        <f t="shared" si="1"/>
        <v>3795</v>
      </c>
      <c r="H74" t="s">
        <v>58</v>
      </c>
      <c r="I74" t="s">
        <v>102</v>
      </c>
      <c r="J74">
        <v>140.048433333334</v>
      </c>
      <c r="K74">
        <v>72.971100000000007</v>
      </c>
      <c r="L74">
        <v>1.4</v>
      </c>
      <c r="M74" s="5">
        <v>7.9695E-8</v>
      </c>
      <c r="N74" s="4" t="s">
        <v>25</v>
      </c>
      <c r="O74" s="4">
        <v>21.352699999999999</v>
      </c>
      <c r="P74" t="s">
        <v>23</v>
      </c>
      <c r="Q74">
        <v>15</v>
      </c>
    </row>
    <row r="75" spans="1:17" x14ac:dyDescent="0.2">
      <c r="A75" s="2">
        <v>73</v>
      </c>
      <c r="B75" t="s">
        <v>14</v>
      </c>
      <c r="C75" t="s">
        <v>53</v>
      </c>
      <c r="D75">
        <v>20000</v>
      </c>
      <c r="F75">
        <f t="shared" si="1"/>
        <v>300000</v>
      </c>
      <c r="H75" t="s">
        <v>58</v>
      </c>
      <c r="I75" t="s">
        <v>103</v>
      </c>
      <c r="J75">
        <v>130.40453333333301</v>
      </c>
      <c r="K75">
        <v>73.112633333333306</v>
      </c>
      <c r="L75">
        <v>1.4</v>
      </c>
      <c r="M75" s="5">
        <v>6.2999999999999998E-6</v>
      </c>
      <c r="N75" s="4" t="s">
        <v>30</v>
      </c>
      <c r="O75" s="4">
        <v>13.9146</v>
      </c>
      <c r="P75" t="s">
        <v>20</v>
      </c>
      <c r="Q75">
        <v>15</v>
      </c>
    </row>
    <row r="76" spans="1:17" x14ac:dyDescent="0.2">
      <c r="A76" s="2">
        <v>74</v>
      </c>
      <c r="B76" t="s">
        <v>14</v>
      </c>
      <c r="C76" t="s">
        <v>53</v>
      </c>
      <c r="D76">
        <v>1212</v>
      </c>
      <c r="F76">
        <f t="shared" si="1"/>
        <v>18180</v>
      </c>
      <c r="H76" t="s">
        <v>58</v>
      </c>
      <c r="I76" t="s">
        <v>103</v>
      </c>
      <c r="J76">
        <v>130.40453333333301</v>
      </c>
      <c r="K76">
        <v>73.112633333333306</v>
      </c>
      <c r="L76">
        <v>1.4</v>
      </c>
      <c r="M76" s="5">
        <v>3.8178000000000002E-7</v>
      </c>
      <c r="N76" s="4" t="s">
        <v>30</v>
      </c>
      <c r="O76" s="4">
        <v>13.9146</v>
      </c>
      <c r="P76" t="s">
        <v>20</v>
      </c>
      <c r="Q76">
        <v>15</v>
      </c>
    </row>
    <row r="77" spans="1:17" x14ac:dyDescent="0.2">
      <c r="A77" s="2">
        <v>75</v>
      </c>
      <c r="B77" t="s">
        <v>14</v>
      </c>
      <c r="C77" t="s">
        <v>53</v>
      </c>
      <c r="D77">
        <v>453</v>
      </c>
      <c r="F77">
        <f t="shared" si="1"/>
        <v>6795</v>
      </c>
      <c r="H77" t="s">
        <v>58</v>
      </c>
      <c r="I77" t="s">
        <v>103</v>
      </c>
      <c r="J77">
        <v>130.40453333333301</v>
      </c>
      <c r="K77">
        <v>73.112633333333306</v>
      </c>
      <c r="L77">
        <v>1.4</v>
      </c>
      <c r="M77" s="5">
        <v>1.4269499999999999E-7</v>
      </c>
      <c r="N77" s="4" t="s">
        <v>30</v>
      </c>
      <c r="O77" s="4">
        <v>13.9146</v>
      </c>
      <c r="P77" t="s">
        <v>20</v>
      </c>
      <c r="Q77">
        <v>15</v>
      </c>
    </row>
    <row r="78" spans="1:17" x14ac:dyDescent="0.2">
      <c r="A78" s="2">
        <v>76</v>
      </c>
      <c r="B78" t="s">
        <v>14</v>
      </c>
      <c r="C78" t="s">
        <v>53</v>
      </c>
      <c r="D78">
        <v>356</v>
      </c>
      <c r="F78">
        <f t="shared" si="1"/>
        <v>5340</v>
      </c>
      <c r="H78" t="s">
        <v>58</v>
      </c>
      <c r="I78" t="s">
        <v>103</v>
      </c>
      <c r="J78">
        <v>130.40453333333301</v>
      </c>
      <c r="K78">
        <v>73.112633333333306</v>
      </c>
      <c r="L78">
        <v>1.4</v>
      </c>
      <c r="M78" s="5">
        <v>1.1214E-7</v>
      </c>
      <c r="N78" s="4" t="s">
        <v>30</v>
      </c>
      <c r="O78" s="4">
        <v>13.9146</v>
      </c>
      <c r="P78" t="s">
        <v>20</v>
      </c>
      <c r="Q78">
        <v>15</v>
      </c>
    </row>
    <row r="79" spans="1:17" x14ac:dyDescent="0.2">
      <c r="A79" s="2">
        <v>77</v>
      </c>
      <c r="B79" t="s">
        <v>14</v>
      </c>
      <c r="C79" t="s">
        <v>53</v>
      </c>
      <c r="D79">
        <v>4908</v>
      </c>
      <c r="F79">
        <f t="shared" si="1"/>
        <v>73620</v>
      </c>
      <c r="H79" t="s">
        <v>58</v>
      </c>
      <c r="I79" t="s">
        <v>104</v>
      </c>
      <c r="J79">
        <v>130.26826666666699</v>
      </c>
      <c r="K79">
        <v>73.347508333333295</v>
      </c>
      <c r="L79">
        <v>1.4</v>
      </c>
      <c r="M79" s="5">
        <v>1.54602E-6</v>
      </c>
      <c r="N79" s="4" t="s">
        <v>30</v>
      </c>
      <c r="O79" s="4">
        <v>13.698499999999999</v>
      </c>
      <c r="P79" t="s">
        <v>20</v>
      </c>
      <c r="Q79">
        <v>15</v>
      </c>
    </row>
    <row r="80" spans="1:17" x14ac:dyDescent="0.2">
      <c r="A80" s="2">
        <v>78</v>
      </c>
      <c r="B80" t="s">
        <v>14</v>
      </c>
      <c r="C80" t="s">
        <v>53</v>
      </c>
      <c r="D80">
        <v>818</v>
      </c>
      <c r="F80">
        <f t="shared" si="1"/>
        <v>12270</v>
      </c>
      <c r="H80" t="s">
        <v>54</v>
      </c>
      <c r="I80" t="s">
        <v>105</v>
      </c>
      <c r="J80">
        <v>127.796233333334</v>
      </c>
      <c r="K80">
        <v>74.967016666666694</v>
      </c>
      <c r="L80">
        <v>1.1599999999999999</v>
      </c>
      <c r="M80" s="5">
        <v>2.13498E-7</v>
      </c>
      <c r="N80" s="4" t="s">
        <v>30</v>
      </c>
      <c r="O80" s="4">
        <v>16.621300000000002</v>
      </c>
      <c r="P80" t="s">
        <v>23</v>
      </c>
      <c r="Q80">
        <v>15</v>
      </c>
    </row>
    <row r="81" spans="1:17" x14ac:dyDescent="0.2">
      <c r="A81" s="2">
        <v>79</v>
      </c>
      <c r="B81" t="s">
        <v>14</v>
      </c>
      <c r="C81" t="s">
        <v>83</v>
      </c>
      <c r="D81">
        <v>2627</v>
      </c>
      <c r="F81">
        <f t="shared" si="1"/>
        <v>39405</v>
      </c>
      <c r="H81" t="s">
        <v>58</v>
      </c>
      <c r="I81" t="s">
        <v>105</v>
      </c>
      <c r="J81">
        <v>127.796233333334</v>
      </c>
      <c r="K81">
        <v>74.967016666666694</v>
      </c>
      <c r="L81">
        <v>1.4</v>
      </c>
      <c r="M81" s="5">
        <v>8.2750500000000005E-7</v>
      </c>
      <c r="N81" s="4" t="s">
        <v>30</v>
      </c>
      <c r="O81" s="4">
        <v>16.621300000000002</v>
      </c>
      <c r="P81" t="s">
        <v>23</v>
      </c>
      <c r="Q81">
        <v>15</v>
      </c>
    </row>
    <row r="82" spans="1:17" x14ac:dyDescent="0.2">
      <c r="A82" s="2">
        <v>80</v>
      </c>
      <c r="B82" t="s">
        <v>14</v>
      </c>
      <c r="C82" t="s">
        <v>53</v>
      </c>
      <c r="D82">
        <v>162</v>
      </c>
      <c r="F82">
        <f t="shared" si="1"/>
        <v>2430</v>
      </c>
      <c r="H82" t="s">
        <v>54</v>
      </c>
      <c r="I82" t="s">
        <v>106</v>
      </c>
      <c r="J82">
        <v>127.977591666667</v>
      </c>
      <c r="K82">
        <v>75.105316666666695</v>
      </c>
      <c r="L82">
        <v>1.1599999999999999</v>
      </c>
      <c r="M82" s="5">
        <v>4.2282000000000001E-8</v>
      </c>
      <c r="N82" s="4" t="s">
        <v>30</v>
      </c>
      <c r="O82" s="4">
        <v>18.2819</v>
      </c>
      <c r="P82" t="s">
        <v>23</v>
      </c>
      <c r="Q82">
        <v>15</v>
      </c>
    </row>
    <row r="83" spans="1:17" x14ac:dyDescent="0.2">
      <c r="A83" s="2">
        <v>81</v>
      </c>
      <c r="B83" t="s">
        <v>14</v>
      </c>
      <c r="C83" t="s">
        <v>53</v>
      </c>
      <c r="D83">
        <v>707</v>
      </c>
      <c r="F83">
        <f t="shared" si="1"/>
        <v>10605</v>
      </c>
      <c r="H83" t="s">
        <v>58</v>
      </c>
      <c r="I83" t="s">
        <v>107</v>
      </c>
      <c r="J83">
        <v>127.30222500000001</v>
      </c>
      <c r="K83">
        <v>75.803299999999993</v>
      </c>
      <c r="L83">
        <v>1.4</v>
      </c>
      <c r="M83" s="5">
        <v>2.2270500000000001E-7</v>
      </c>
      <c r="N83" s="4" t="s">
        <v>30</v>
      </c>
      <c r="O83" s="4">
        <v>21.749400000000001</v>
      </c>
      <c r="P83" t="s">
        <v>23</v>
      </c>
      <c r="Q83">
        <v>15</v>
      </c>
    </row>
    <row r="84" spans="1:17" x14ac:dyDescent="0.2">
      <c r="A84" s="2">
        <v>82</v>
      </c>
      <c r="B84" t="s">
        <v>14</v>
      </c>
      <c r="C84" t="s">
        <v>53</v>
      </c>
      <c r="D84">
        <v>587</v>
      </c>
      <c r="F84">
        <f t="shared" si="1"/>
        <v>8805</v>
      </c>
      <c r="H84" t="s">
        <v>58</v>
      </c>
      <c r="I84" t="s">
        <v>107</v>
      </c>
      <c r="J84">
        <v>127.30222500000001</v>
      </c>
      <c r="K84">
        <v>75.803299999999993</v>
      </c>
      <c r="L84">
        <v>1.4</v>
      </c>
      <c r="M84" s="5">
        <v>1.84905E-7</v>
      </c>
      <c r="N84" s="4" t="s">
        <v>30</v>
      </c>
      <c r="O84" s="4">
        <v>21.749400000000001</v>
      </c>
      <c r="P84" t="s">
        <v>23</v>
      </c>
      <c r="Q84">
        <v>15</v>
      </c>
    </row>
    <row r="85" spans="1:17" x14ac:dyDescent="0.2">
      <c r="A85" s="2">
        <v>83</v>
      </c>
      <c r="B85" t="s">
        <v>7</v>
      </c>
      <c r="C85" t="s">
        <v>86</v>
      </c>
      <c r="D85">
        <v>1013</v>
      </c>
      <c r="E85" t="s">
        <v>108</v>
      </c>
      <c r="F85">
        <v>54000</v>
      </c>
      <c r="H85" t="s">
        <v>109</v>
      </c>
      <c r="I85" t="s">
        <v>107</v>
      </c>
      <c r="J85">
        <v>127.30222500000001</v>
      </c>
      <c r="K85">
        <v>75.803299999999993</v>
      </c>
      <c r="L85">
        <v>1.08</v>
      </c>
      <c r="M85" s="5">
        <v>8.7479999999999997E-7</v>
      </c>
      <c r="N85" s="4" t="s">
        <v>30</v>
      </c>
      <c r="O85" s="4">
        <v>21.749400000000001</v>
      </c>
      <c r="P85" t="s">
        <v>23</v>
      </c>
      <c r="Q85">
        <v>15</v>
      </c>
    </row>
    <row r="86" spans="1:17" x14ac:dyDescent="0.2">
      <c r="A86" s="2">
        <v>84</v>
      </c>
      <c r="B86" t="s">
        <v>7</v>
      </c>
      <c r="C86" t="s">
        <v>60</v>
      </c>
      <c r="D86">
        <v>185</v>
      </c>
      <c r="E86">
        <v>56</v>
      </c>
      <c r="F86">
        <v>10360</v>
      </c>
      <c r="H86" t="s">
        <v>34</v>
      </c>
      <c r="I86" t="s">
        <v>107</v>
      </c>
      <c r="J86">
        <v>127.30222500000001</v>
      </c>
      <c r="K86">
        <v>75.803299999999993</v>
      </c>
      <c r="L86">
        <v>1.1000000000000001</v>
      </c>
      <c r="M86" s="5">
        <v>1.7093999999999999E-7</v>
      </c>
      <c r="N86" s="4" t="s">
        <v>30</v>
      </c>
      <c r="O86" s="4">
        <v>21.749400000000001</v>
      </c>
      <c r="P86" t="s">
        <v>23</v>
      </c>
      <c r="Q86">
        <v>15</v>
      </c>
    </row>
    <row r="87" spans="1:17" x14ac:dyDescent="0.2">
      <c r="A87" s="2">
        <v>85</v>
      </c>
      <c r="B87" t="s">
        <v>14</v>
      </c>
      <c r="C87" t="s">
        <v>53</v>
      </c>
      <c r="D87">
        <v>345</v>
      </c>
      <c r="F87">
        <f>D87*15</f>
        <v>5175</v>
      </c>
      <c r="H87" t="s">
        <v>58</v>
      </c>
      <c r="I87" t="s">
        <v>110</v>
      </c>
      <c r="J87">
        <v>127.177016666667</v>
      </c>
      <c r="K87">
        <v>76.958908333333298</v>
      </c>
      <c r="L87">
        <v>1.4</v>
      </c>
      <c r="M87" s="5">
        <v>1.08675E-7</v>
      </c>
      <c r="N87" s="6" t="s">
        <v>30</v>
      </c>
      <c r="O87" s="6">
        <v>30.151800000000001</v>
      </c>
      <c r="P87" t="s">
        <v>68</v>
      </c>
      <c r="Q87">
        <v>15</v>
      </c>
    </row>
    <row r="88" spans="1:17" x14ac:dyDescent="0.2">
      <c r="A88" s="2">
        <v>86</v>
      </c>
      <c r="B88" t="s">
        <v>14</v>
      </c>
      <c r="C88" t="s">
        <v>53</v>
      </c>
      <c r="D88">
        <v>176</v>
      </c>
      <c r="F88">
        <f>D88*15</f>
        <v>2640</v>
      </c>
      <c r="H88" t="s">
        <v>58</v>
      </c>
      <c r="I88" t="s">
        <v>110</v>
      </c>
      <c r="J88">
        <v>127.177016666667</v>
      </c>
      <c r="K88">
        <v>76.958908333333298</v>
      </c>
      <c r="L88">
        <v>1.4</v>
      </c>
      <c r="M88" s="5">
        <v>5.5439999999999999E-8</v>
      </c>
      <c r="N88" s="6" t="s">
        <v>30</v>
      </c>
      <c r="O88" s="6">
        <v>28.953199999999999</v>
      </c>
      <c r="P88" t="s">
        <v>68</v>
      </c>
      <c r="Q88">
        <v>15</v>
      </c>
    </row>
    <row r="89" spans="1:17" x14ac:dyDescent="0.2">
      <c r="A89" s="2">
        <v>87</v>
      </c>
      <c r="B89" t="s">
        <v>14</v>
      </c>
      <c r="C89" t="s">
        <v>53</v>
      </c>
      <c r="D89">
        <v>740</v>
      </c>
      <c r="F89">
        <f>D89*15</f>
        <v>11100</v>
      </c>
      <c r="H89" t="s">
        <v>70</v>
      </c>
      <c r="I89" t="s">
        <v>111</v>
      </c>
      <c r="J89">
        <v>124.386508333333</v>
      </c>
      <c r="K89">
        <v>77.226258333333405</v>
      </c>
      <c r="L89">
        <v>2.2000000000000002</v>
      </c>
      <c r="M89" s="5">
        <v>3.6629999999999999E-7</v>
      </c>
      <c r="N89" s="6" t="s">
        <v>30</v>
      </c>
      <c r="O89" s="6">
        <v>30.146699999999999</v>
      </c>
      <c r="P89" t="s">
        <v>68</v>
      </c>
      <c r="Q89">
        <v>15</v>
      </c>
    </row>
    <row r="90" spans="1:17" x14ac:dyDescent="0.2">
      <c r="A90" s="2">
        <v>88</v>
      </c>
      <c r="B90" t="s">
        <v>14</v>
      </c>
      <c r="C90" t="s">
        <v>83</v>
      </c>
      <c r="D90">
        <v>1776</v>
      </c>
      <c r="F90">
        <f>D90*15</f>
        <v>26640</v>
      </c>
      <c r="H90" t="s">
        <v>58</v>
      </c>
      <c r="I90" t="s">
        <v>112</v>
      </c>
      <c r="J90">
        <v>113.229308333334</v>
      </c>
      <c r="K90">
        <v>77.592725000000002</v>
      </c>
      <c r="L90">
        <v>1.4</v>
      </c>
      <c r="M90" s="5">
        <v>5.5944000000000004E-7</v>
      </c>
      <c r="N90" s="6" t="s">
        <v>30</v>
      </c>
      <c r="O90" s="6">
        <v>30.767800000000001</v>
      </c>
      <c r="P90" t="s">
        <v>68</v>
      </c>
      <c r="Q90">
        <v>15</v>
      </c>
    </row>
    <row r="91" spans="1:17" x14ac:dyDescent="0.2">
      <c r="A91" s="2">
        <v>89</v>
      </c>
      <c r="B91" t="s">
        <v>7</v>
      </c>
      <c r="C91" t="s">
        <v>86</v>
      </c>
      <c r="D91">
        <v>121</v>
      </c>
      <c r="E91">
        <v>56</v>
      </c>
      <c r="F91">
        <v>4384</v>
      </c>
      <c r="H91" t="s">
        <v>27</v>
      </c>
      <c r="I91" t="s">
        <v>112</v>
      </c>
      <c r="J91">
        <v>113.229308333334</v>
      </c>
      <c r="K91">
        <v>77.592725000000002</v>
      </c>
      <c r="L91">
        <v>1.2</v>
      </c>
      <c r="M91" s="5">
        <v>7.8911999999999999E-8</v>
      </c>
      <c r="N91" s="6" t="s">
        <v>30</v>
      </c>
      <c r="O91" s="6">
        <v>30.767800000000001</v>
      </c>
      <c r="P91" t="s">
        <v>68</v>
      </c>
      <c r="Q91">
        <v>15</v>
      </c>
    </row>
    <row r="92" spans="1:17" x14ac:dyDescent="0.2">
      <c r="A92" s="2">
        <v>90</v>
      </c>
      <c r="B92" t="s">
        <v>7</v>
      </c>
      <c r="C92" t="s">
        <v>86</v>
      </c>
      <c r="D92">
        <v>78</v>
      </c>
      <c r="E92">
        <v>78</v>
      </c>
      <c r="F92">
        <v>3600</v>
      </c>
      <c r="H92" t="s">
        <v>113</v>
      </c>
      <c r="I92" t="s">
        <v>112</v>
      </c>
      <c r="J92">
        <v>113.229308333334</v>
      </c>
      <c r="K92">
        <v>77.592725000000002</v>
      </c>
      <c r="L92">
        <v>1.18</v>
      </c>
      <c r="M92" s="5">
        <v>6.3720000000000004E-8</v>
      </c>
      <c r="N92" s="6" t="s">
        <v>30</v>
      </c>
      <c r="O92" s="6">
        <v>30.767800000000001</v>
      </c>
      <c r="P92" t="s">
        <v>68</v>
      </c>
      <c r="Q92">
        <v>15</v>
      </c>
    </row>
    <row r="93" spans="1:17" x14ac:dyDescent="0.2">
      <c r="A93" s="2">
        <v>91</v>
      </c>
      <c r="B93" t="s">
        <v>7</v>
      </c>
      <c r="C93" t="s">
        <v>60</v>
      </c>
      <c r="D93">
        <v>135</v>
      </c>
      <c r="E93">
        <v>118</v>
      </c>
      <c r="F93">
        <v>16000</v>
      </c>
      <c r="H93" t="s">
        <v>34</v>
      </c>
      <c r="I93" t="s">
        <v>114</v>
      </c>
      <c r="J93">
        <v>104.18378333333401</v>
      </c>
      <c r="K93">
        <v>77.961375000000004</v>
      </c>
      <c r="L93">
        <v>1.1000000000000001</v>
      </c>
      <c r="M93" s="5">
        <v>2.6399999999999998E-7</v>
      </c>
      <c r="N93" s="6" t="s">
        <v>17</v>
      </c>
      <c r="O93" s="6">
        <v>30.795200000000001</v>
      </c>
      <c r="P93" t="s">
        <v>68</v>
      </c>
      <c r="Q93">
        <v>15</v>
      </c>
    </row>
    <row r="94" spans="1:17" x14ac:dyDescent="0.2">
      <c r="A94" s="2">
        <v>92</v>
      </c>
      <c r="B94" t="s">
        <v>7</v>
      </c>
      <c r="C94" t="s">
        <v>60</v>
      </c>
      <c r="D94">
        <v>435</v>
      </c>
      <c r="E94">
        <v>133</v>
      </c>
      <c r="F94">
        <v>52000</v>
      </c>
      <c r="H94" t="s">
        <v>115</v>
      </c>
      <c r="I94" t="s">
        <v>116</v>
      </c>
      <c r="J94">
        <v>88.949716666666703</v>
      </c>
      <c r="K94">
        <v>76.1688166666667</v>
      </c>
      <c r="L94">
        <v>1.06</v>
      </c>
      <c r="M94" s="5">
        <v>8.2679999999999997E-7</v>
      </c>
      <c r="N94" s="6" t="s">
        <v>17</v>
      </c>
      <c r="O94" s="6">
        <v>29.282900000000001</v>
      </c>
      <c r="P94" t="s">
        <v>68</v>
      </c>
      <c r="Q94">
        <v>15</v>
      </c>
    </row>
    <row r="95" spans="1:17" x14ac:dyDescent="0.2">
      <c r="A95" s="2">
        <v>93</v>
      </c>
      <c r="B95" t="s">
        <v>7</v>
      </c>
      <c r="C95" t="s">
        <v>101</v>
      </c>
      <c r="D95">
        <v>215</v>
      </c>
      <c r="E95">
        <v>182</v>
      </c>
      <c r="F95">
        <v>31000</v>
      </c>
      <c r="G95" t="s">
        <v>69</v>
      </c>
      <c r="H95" t="s">
        <v>115</v>
      </c>
      <c r="I95" t="s">
        <v>116</v>
      </c>
      <c r="J95">
        <v>88.949716666666703</v>
      </c>
      <c r="K95">
        <v>76.1688166666667</v>
      </c>
      <c r="L95">
        <v>1.06</v>
      </c>
      <c r="M95" s="5">
        <v>4.9289999999999997E-7</v>
      </c>
      <c r="N95" s="6" t="s">
        <v>17</v>
      </c>
      <c r="O95" s="6">
        <v>29.282900000000001</v>
      </c>
      <c r="P95" t="s">
        <v>68</v>
      </c>
      <c r="Q95">
        <v>15</v>
      </c>
    </row>
    <row r="96" spans="1:17" x14ac:dyDescent="0.2">
      <c r="A96" s="2">
        <v>94</v>
      </c>
      <c r="B96" t="s">
        <v>7</v>
      </c>
      <c r="C96" t="s">
        <v>72</v>
      </c>
      <c r="D96">
        <v>760</v>
      </c>
      <c r="E96">
        <v>415</v>
      </c>
      <c r="F96">
        <v>225400</v>
      </c>
      <c r="G96" t="s">
        <v>49</v>
      </c>
      <c r="H96" t="s">
        <v>109</v>
      </c>
      <c r="I96" t="s">
        <v>116</v>
      </c>
      <c r="J96">
        <v>88.949716666666703</v>
      </c>
      <c r="K96">
        <v>76.1688166666667</v>
      </c>
      <c r="L96">
        <v>1.08</v>
      </c>
      <c r="M96" s="5">
        <v>3.65148E-6</v>
      </c>
      <c r="N96" s="6" t="s">
        <v>17</v>
      </c>
      <c r="O96" s="6">
        <v>29.282900000000001</v>
      </c>
      <c r="P96" t="s">
        <v>68</v>
      </c>
      <c r="Q96">
        <v>15</v>
      </c>
    </row>
    <row r="97" spans="1:17" x14ac:dyDescent="0.2">
      <c r="A97" s="2">
        <v>95</v>
      </c>
      <c r="B97" t="s">
        <v>14</v>
      </c>
      <c r="C97" t="s">
        <v>53</v>
      </c>
      <c r="D97">
        <v>544</v>
      </c>
      <c r="F97">
        <f>D97*15</f>
        <v>8160</v>
      </c>
      <c r="H97" t="s">
        <v>58</v>
      </c>
      <c r="I97" t="s">
        <v>117</v>
      </c>
      <c r="J97">
        <v>69.457266666666698</v>
      </c>
      <c r="K97">
        <v>73.316766666666695</v>
      </c>
      <c r="L97">
        <v>1.4</v>
      </c>
      <c r="M97" s="5">
        <v>1.7135999999999999E-7</v>
      </c>
      <c r="N97" s="3" t="s">
        <v>17</v>
      </c>
      <c r="O97" s="3">
        <v>30.876100000000001</v>
      </c>
      <c r="P97" t="s">
        <v>11</v>
      </c>
      <c r="Q97">
        <v>15</v>
      </c>
    </row>
    <row r="98" spans="1:17" x14ac:dyDescent="0.2">
      <c r="A98" s="2">
        <v>96</v>
      </c>
      <c r="B98" t="s">
        <v>14</v>
      </c>
      <c r="C98" t="s">
        <v>83</v>
      </c>
      <c r="D98">
        <v>1327</v>
      </c>
      <c r="F98">
        <f>D98*15</f>
        <v>19905</v>
      </c>
      <c r="H98" t="s">
        <v>54</v>
      </c>
      <c r="I98" t="s">
        <v>117</v>
      </c>
      <c r="J98">
        <v>69.457266666666698</v>
      </c>
      <c r="K98">
        <v>73.316766666666695</v>
      </c>
      <c r="L98">
        <v>1.1599999999999999</v>
      </c>
      <c r="M98" s="5">
        <v>3.46347E-7</v>
      </c>
      <c r="N98" s="3" t="s">
        <v>17</v>
      </c>
      <c r="O98" s="3">
        <v>30.876100000000001</v>
      </c>
      <c r="P98" t="s">
        <v>11</v>
      </c>
      <c r="Q98">
        <v>15</v>
      </c>
    </row>
    <row r="99" spans="1:17" x14ac:dyDescent="0.2">
      <c r="A99" s="2">
        <v>97</v>
      </c>
      <c r="B99" t="s">
        <v>7</v>
      </c>
      <c r="C99" t="s">
        <v>86</v>
      </c>
      <c r="D99">
        <v>424</v>
      </c>
      <c r="E99">
        <v>53</v>
      </c>
      <c r="F99">
        <v>22500</v>
      </c>
      <c r="H99" t="s">
        <v>19</v>
      </c>
      <c r="I99" t="s">
        <v>117</v>
      </c>
      <c r="J99">
        <v>69.457266666666698</v>
      </c>
      <c r="K99">
        <v>73.316766666666695</v>
      </c>
      <c r="L99">
        <v>0.94599999999999995</v>
      </c>
      <c r="M99" s="5">
        <v>3.1927500000000001E-7</v>
      </c>
      <c r="N99" s="3" t="s">
        <v>17</v>
      </c>
      <c r="O99" s="3">
        <v>30.876100000000001</v>
      </c>
      <c r="P99" t="s">
        <v>11</v>
      </c>
      <c r="Q99">
        <v>15</v>
      </c>
    </row>
    <row r="100" spans="1:17" x14ac:dyDescent="0.2">
      <c r="A100" s="2">
        <v>98</v>
      </c>
      <c r="B100" t="s">
        <v>14</v>
      </c>
      <c r="C100" t="s">
        <v>53</v>
      </c>
      <c r="D100">
        <v>10100</v>
      </c>
      <c r="F100">
        <f>D100*15</f>
        <v>151500</v>
      </c>
      <c r="H100" t="s">
        <v>58</v>
      </c>
      <c r="I100" t="s">
        <v>118</v>
      </c>
      <c r="J100">
        <v>64.134225000000001</v>
      </c>
      <c r="K100">
        <v>72.525125000000003</v>
      </c>
      <c r="L100">
        <v>1.4</v>
      </c>
      <c r="M100" s="5">
        <v>3.1814999999999999E-6</v>
      </c>
      <c r="N100" s="3" t="s">
        <v>17</v>
      </c>
      <c r="O100" s="3">
        <v>32.061100000000003</v>
      </c>
      <c r="P100" t="s">
        <v>11</v>
      </c>
      <c r="Q100">
        <v>15</v>
      </c>
    </row>
    <row r="101" spans="1:17" x14ac:dyDescent="0.2">
      <c r="A101" s="2">
        <v>99</v>
      </c>
      <c r="B101" t="s">
        <v>14</v>
      </c>
      <c r="C101" t="s">
        <v>53</v>
      </c>
      <c r="D101">
        <v>236</v>
      </c>
      <c r="F101">
        <f>D101*15</f>
        <v>3540</v>
      </c>
      <c r="H101" t="s">
        <v>58</v>
      </c>
      <c r="I101" t="s">
        <v>118</v>
      </c>
      <c r="J101">
        <v>64.134225000000001</v>
      </c>
      <c r="K101">
        <v>72.525125000000003</v>
      </c>
      <c r="L101">
        <v>1.4</v>
      </c>
      <c r="M101" s="5">
        <v>7.4340000000000003E-8</v>
      </c>
      <c r="N101" s="3" t="s">
        <v>17</v>
      </c>
      <c r="O101" s="3">
        <v>32.061100000000003</v>
      </c>
      <c r="P101" t="s">
        <v>11</v>
      </c>
      <c r="Q101">
        <v>15</v>
      </c>
    </row>
    <row r="102" spans="1:17" x14ac:dyDescent="0.2">
      <c r="A102" s="2">
        <v>100</v>
      </c>
      <c r="B102" t="s">
        <v>14</v>
      </c>
      <c r="C102" t="s">
        <v>53</v>
      </c>
      <c r="D102">
        <v>286</v>
      </c>
      <c r="F102">
        <f>D102*15</f>
        <v>4290</v>
      </c>
      <c r="H102" t="s">
        <v>58</v>
      </c>
      <c r="I102" t="s">
        <v>118</v>
      </c>
      <c r="J102">
        <v>64.134225000000001</v>
      </c>
      <c r="K102">
        <v>72.525125000000003</v>
      </c>
      <c r="L102">
        <v>1.4</v>
      </c>
      <c r="M102" s="5">
        <v>9.0089999999999995E-8</v>
      </c>
      <c r="N102" s="3" t="s">
        <v>17</v>
      </c>
      <c r="O102" s="3">
        <v>32.061100000000003</v>
      </c>
      <c r="P102" t="s">
        <v>11</v>
      </c>
      <c r="Q102">
        <v>15</v>
      </c>
    </row>
    <row r="103" spans="1:17" x14ac:dyDescent="0.2">
      <c r="A103" s="2">
        <v>101</v>
      </c>
      <c r="B103" t="s">
        <v>14</v>
      </c>
      <c r="C103" t="s">
        <v>83</v>
      </c>
      <c r="D103">
        <v>187</v>
      </c>
      <c r="F103">
        <f>D103*15</f>
        <v>2805</v>
      </c>
      <c r="H103" t="s">
        <v>58</v>
      </c>
      <c r="I103" t="s">
        <v>118</v>
      </c>
      <c r="J103">
        <v>64.134225000000001</v>
      </c>
      <c r="K103">
        <v>72.525125000000003</v>
      </c>
      <c r="L103">
        <v>1.4</v>
      </c>
      <c r="M103" s="5">
        <v>5.8904999999999997E-8</v>
      </c>
      <c r="N103" s="3" t="s">
        <v>17</v>
      </c>
      <c r="O103" s="3">
        <v>32.061100000000003</v>
      </c>
      <c r="P103" t="s">
        <v>11</v>
      </c>
      <c r="Q103">
        <v>15</v>
      </c>
    </row>
    <row r="104" spans="1:17" x14ac:dyDescent="0.2">
      <c r="A104" s="2">
        <v>102</v>
      </c>
      <c r="B104" t="s">
        <v>7</v>
      </c>
      <c r="C104" t="s">
        <v>60</v>
      </c>
      <c r="D104">
        <v>510</v>
      </c>
      <c r="E104">
        <v>32</v>
      </c>
      <c r="F104">
        <v>16000</v>
      </c>
      <c r="H104" t="s">
        <v>34</v>
      </c>
      <c r="I104" t="s">
        <v>119</v>
      </c>
      <c r="J104">
        <v>61.568174999999997</v>
      </c>
      <c r="K104">
        <v>71.720016666666695</v>
      </c>
      <c r="L104">
        <v>1.1000000000000001</v>
      </c>
      <c r="M104" s="5">
        <v>2.6399999999999998E-7</v>
      </c>
      <c r="N104" s="3" t="s">
        <v>17</v>
      </c>
      <c r="O104" s="3">
        <v>32.072800000000001</v>
      </c>
      <c r="P104" t="s">
        <v>11</v>
      </c>
      <c r="Q104">
        <v>15</v>
      </c>
    </row>
    <row r="105" spans="1:17" x14ac:dyDescent="0.2">
      <c r="A105" s="2">
        <v>103</v>
      </c>
      <c r="B105" t="s">
        <v>7</v>
      </c>
      <c r="C105" t="s">
        <v>120</v>
      </c>
      <c r="D105">
        <v>138</v>
      </c>
      <c r="E105">
        <v>138</v>
      </c>
      <c r="F105">
        <v>20000</v>
      </c>
      <c r="H105" t="s">
        <v>12</v>
      </c>
      <c r="I105" t="s">
        <v>119</v>
      </c>
      <c r="J105">
        <v>61.568174999999997</v>
      </c>
      <c r="K105">
        <v>71.720016666666695</v>
      </c>
      <c r="L105">
        <v>1.45</v>
      </c>
      <c r="M105" s="5">
        <v>4.3500000000000002E-7</v>
      </c>
      <c r="N105" s="3" t="s">
        <v>17</v>
      </c>
      <c r="O105" s="3">
        <v>32.072800000000001</v>
      </c>
      <c r="P105" t="s">
        <v>11</v>
      </c>
      <c r="Q105">
        <v>15</v>
      </c>
    </row>
    <row r="106" spans="1:17" x14ac:dyDescent="0.2">
      <c r="A106" s="2">
        <v>104</v>
      </c>
      <c r="B106" t="s">
        <v>14</v>
      </c>
      <c r="C106" t="s">
        <v>53</v>
      </c>
      <c r="D106">
        <v>1684</v>
      </c>
      <c r="F106">
        <f>D106*15</f>
        <v>25260</v>
      </c>
      <c r="H106" t="s">
        <v>58</v>
      </c>
      <c r="I106" t="s">
        <v>121</v>
      </c>
      <c r="J106">
        <v>58.3867166666667</v>
      </c>
      <c r="K106">
        <v>70.780208333333306</v>
      </c>
      <c r="L106">
        <v>1.4</v>
      </c>
      <c r="M106" s="5">
        <v>5.3046E-7</v>
      </c>
      <c r="N106" s="3" t="s">
        <v>17</v>
      </c>
      <c r="O106" s="3">
        <v>28.2166</v>
      </c>
      <c r="P106" t="s">
        <v>11</v>
      </c>
      <c r="Q106">
        <v>15</v>
      </c>
    </row>
    <row r="107" spans="1:17" x14ac:dyDescent="0.2">
      <c r="A107" s="2">
        <v>105</v>
      </c>
      <c r="B107" t="s">
        <v>7</v>
      </c>
      <c r="C107" t="s">
        <v>122</v>
      </c>
      <c r="D107">
        <v>272</v>
      </c>
      <c r="E107">
        <v>176</v>
      </c>
      <c r="F107">
        <v>45600</v>
      </c>
      <c r="H107" t="s">
        <v>27</v>
      </c>
      <c r="I107" t="s">
        <v>121</v>
      </c>
      <c r="J107">
        <v>58.3867166666667</v>
      </c>
      <c r="K107">
        <v>70.780208333333306</v>
      </c>
      <c r="L107">
        <v>1.2</v>
      </c>
      <c r="M107" s="5">
        <v>8.2080000000000004E-7</v>
      </c>
      <c r="N107" s="3" t="s">
        <v>17</v>
      </c>
      <c r="O107" s="3">
        <v>28.2166</v>
      </c>
      <c r="P107" t="s">
        <v>11</v>
      </c>
      <c r="Q107">
        <v>15</v>
      </c>
    </row>
    <row r="108" spans="1:17" x14ac:dyDescent="0.2">
      <c r="A108" s="2">
        <v>106</v>
      </c>
      <c r="B108" t="s">
        <v>7</v>
      </c>
      <c r="C108" t="s">
        <v>122</v>
      </c>
      <c r="D108">
        <v>145</v>
      </c>
      <c r="E108">
        <v>60</v>
      </c>
      <c r="F108">
        <v>9500</v>
      </c>
      <c r="H108" t="s">
        <v>27</v>
      </c>
      <c r="I108" t="s">
        <v>121</v>
      </c>
      <c r="J108">
        <v>58.3867166666667</v>
      </c>
      <c r="K108">
        <v>70.780208333333306</v>
      </c>
      <c r="L108">
        <v>1.2</v>
      </c>
      <c r="M108" s="5">
        <v>1.7100000000000001E-7</v>
      </c>
      <c r="N108" s="3" t="s">
        <v>17</v>
      </c>
      <c r="O108" s="3">
        <v>28.2166</v>
      </c>
      <c r="P108" t="s">
        <v>11</v>
      </c>
      <c r="Q108">
        <v>15</v>
      </c>
    </row>
    <row r="109" spans="1:17" x14ac:dyDescent="0.2">
      <c r="A109" s="2">
        <v>107</v>
      </c>
      <c r="B109" t="s">
        <v>7</v>
      </c>
      <c r="C109" t="s">
        <v>60</v>
      </c>
      <c r="D109">
        <v>197</v>
      </c>
      <c r="E109">
        <v>124</v>
      </c>
      <c r="F109">
        <v>215000</v>
      </c>
      <c r="H109" t="s">
        <v>70</v>
      </c>
      <c r="I109" t="s">
        <v>121</v>
      </c>
      <c r="J109">
        <v>58.3867166666667</v>
      </c>
      <c r="K109">
        <v>70.780208333333306</v>
      </c>
      <c r="L109">
        <v>2.2000000000000002</v>
      </c>
      <c r="M109" s="5">
        <v>7.0949999999999998E-6</v>
      </c>
      <c r="N109" s="3" t="s">
        <v>17</v>
      </c>
      <c r="O109" s="3">
        <v>28.2166</v>
      </c>
      <c r="P109" t="s">
        <v>11</v>
      </c>
      <c r="Q109">
        <v>15</v>
      </c>
    </row>
    <row r="110" spans="1:17" x14ac:dyDescent="0.2">
      <c r="A110" s="2">
        <v>108</v>
      </c>
      <c r="B110" t="s">
        <v>7</v>
      </c>
      <c r="C110" t="s">
        <v>101</v>
      </c>
      <c r="D110">
        <v>294</v>
      </c>
      <c r="E110">
        <v>103</v>
      </c>
      <c r="F110">
        <v>24000</v>
      </c>
      <c r="H110" t="s">
        <v>12</v>
      </c>
      <c r="I110" t="s">
        <v>121</v>
      </c>
      <c r="J110">
        <v>58.3867166666667</v>
      </c>
      <c r="K110">
        <v>70.780208333333306</v>
      </c>
      <c r="L110">
        <v>1.45</v>
      </c>
      <c r="M110" s="5">
        <v>5.2200000000000004E-7</v>
      </c>
      <c r="N110" s="3" t="s">
        <v>17</v>
      </c>
      <c r="O110" s="3">
        <v>28.2166</v>
      </c>
      <c r="P110" t="s">
        <v>11</v>
      </c>
      <c r="Q110">
        <v>15</v>
      </c>
    </row>
    <row r="111" spans="1:17" x14ac:dyDescent="0.2">
      <c r="A111" s="2">
        <v>109</v>
      </c>
      <c r="B111" t="s">
        <v>14</v>
      </c>
      <c r="C111" t="s">
        <v>123</v>
      </c>
      <c r="D111">
        <v>100</v>
      </c>
      <c r="F111">
        <f>D111*15</f>
        <v>1500</v>
      </c>
      <c r="H111" t="s">
        <v>54</v>
      </c>
      <c r="I111" t="s">
        <v>124</v>
      </c>
      <c r="J111">
        <v>50.714166666666699</v>
      </c>
      <c r="K111">
        <v>69.821666666666701</v>
      </c>
      <c r="L111">
        <v>1.1599999999999999</v>
      </c>
      <c r="M111" s="5">
        <v>2.6099999999999999E-8</v>
      </c>
      <c r="N111" s="3" t="s">
        <v>10</v>
      </c>
      <c r="O111" s="3">
        <v>33.840200000000003</v>
      </c>
      <c r="P111" t="s">
        <v>11</v>
      </c>
      <c r="Q111">
        <v>15</v>
      </c>
    </row>
    <row r="112" spans="1:17" x14ac:dyDescent="0.2">
      <c r="A112" s="2">
        <v>110</v>
      </c>
      <c r="B112" t="s">
        <v>14</v>
      </c>
      <c r="C112" t="s">
        <v>123</v>
      </c>
      <c r="D112">
        <v>823</v>
      </c>
      <c r="F112">
        <f>D112*15</f>
        <v>12345</v>
      </c>
      <c r="H112" t="s">
        <v>58</v>
      </c>
      <c r="I112" t="s">
        <v>125</v>
      </c>
      <c r="J112">
        <v>43.296805555555601</v>
      </c>
      <c r="K112">
        <v>68.168333333333294</v>
      </c>
      <c r="L112">
        <v>1.4</v>
      </c>
      <c r="M112" s="5">
        <v>2.5924500000000002E-7</v>
      </c>
      <c r="N112" s="3" t="s">
        <v>10</v>
      </c>
      <c r="O112" s="3">
        <v>31.590399999999999</v>
      </c>
      <c r="P112" t="s">
        <v>11</v>
      </c>
      <c r="Q112">
        <v>15</v>
      </c>
    </row>
  </sheetData>
  <autoFilter ref="O1:O112" xr:uid="{00000000-0009-0000-0000-000002000000}"/>
  <pageMargins left="0.78749999999999998" right="0.78749999999999998" top="1.052778" bottom="1.052778" header="0.78749999999999998" footer="0.78749999999999998"/>
  <pageSetup paperSize="9" orientation="portrait" cellComments="asDisplayed"/>
  <headerFooter>
    <oddHeader>&amp;C&amp;"Times New Roman"&amp;12&amp;A</oddHeader>
    <oddFooter>&amp;C&amp;"Times New Roman"&amp;12Страница &amp;P</oddFooter>
  </headerFooter>
  <extLst>
    <ext uri="smNativeData">
      <pm:sheetPrefs xmlns:pm="smNativeData" day="1597788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chem_surf</vt:lpstr>
      <vt:lpstr>chem_sub</vt:lpstr>
      <vt:lpstr>chem_sub_old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Mair, Magdalena</cp:lastModifiedBy>
  <cp:revision>0</cp:revision>
  <dcterms:created xsi:type="dcterms:W3CDTF">2020-03-11T19:33:43Z</dcterms:created>
  <dcterms:modified xsi:type="dcterms:W3CDTF">2024-03-27T14:22:06Z</dcterms:modified>
</cp:coreProperties>
</file>