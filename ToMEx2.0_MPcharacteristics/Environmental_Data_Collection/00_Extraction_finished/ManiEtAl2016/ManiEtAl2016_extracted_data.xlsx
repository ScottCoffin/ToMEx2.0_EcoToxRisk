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gdalenamair/Documents/Lena_Synology/PROJECT_ToMEx2.0Thresholds/ToMEx2.0_EcoToxRisk/ToMEx2.0_MPcharacteristics/Environmental_Data_Collection/ManiEtAl2016/"/>
    </mc:Choice>
  </mc:AlternateContent>
  <xr:revisionPtr revIDLastSave="0" documentId="13_ncr:1_{0E5034CB-D8D9-2D4E-9FE3-E443272288AC}" xr6:coauthVersionLast="47" xr6:coauthVersionMax="47" xr10:uidLastSave="{00000000-0000-0000-0000-000000000000}"/>
  <bookViews>
    <workbookView xWindow="1000" yWindow="5620" windowWidth="36380" windowHeight="20060" activeTab="2" xr2:uid="{B5DF6E03-C76B-D241-A8B9-2A9B166D8886}"/>
  </bookViews>
  <sheets>
    <sheet name="README" sheetId="1" r:id="rId1"/>
    <sheet name="ManiEtAl2016_extracted_data" sheetId="2" r:id="rId2"/>
    <sheet name="Polymer typ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3" l="1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5" i="3"/>
  <c r="D4" i="3"/>
  <c r="D3" i="3"/>
  <c r="D2" i="3"/>
  <c r="B3" i="2"/>
  <c r="B2" i="2"/>
  <c r="B1" i="2"/>
</calcChain>
</file>

<file path=xl/sharedStrings.xml><?xml version="1.0" encoding="utf-8"?>
<sst xmlns="http://schemas.openxmlformats.org/spreadsheetml/2006/main" count="72" uniqueCount="27">
  <si>
    <t>Mani et al. 2016 - Data extracted from Figure S1</t>
  </si>
  <si>
    <t>https://doi.org/10.1038/srep17988</t>
  </si>
  <si>
    <t>No information on particle sizes reported</t>
  </si>
  <si>
    <t>Spheres</t>
  </si>
  <si>
    <t>Fragments_incl_foam</t>
  </si>
  <si>
    <t>Fibers</t>
  </si>
  <si>
    <t>PS</t>
  </si>
  <si>
    <t>PE</t>
  </si>
  <si>
    <t>PP</t>
  </si>
  <si>
    <t>PVC</t>
  </si>
  <si>
    <t>PMMA</t>
  </si>
  <si>
    <t>Polyester</t>
  </si>
  <si>
    <t>Other</t>
  </si>
  <si>
    <t>polymer type</t>
  </si>
  <si>
    <t>number_of_particles</t>
  </si>
  <si>
    <t>pie</t>
  </si>
  <si>
    <t>Spherules_opaque</t>
  </si>
  <si>
    <t>Spherules_transparent</t>
  </si>
  <si>
    <t>Fragments</t>
  </si>
  <si>
    <t>comment</t>
  </si>
  <si>
    <t>Labeled as 1% in Fig. S1, but has to be larger; value calculated from other particles and total number of particles</t>
  </si>
  <si>
    <t>Fibres</t>
  </si>
  <si>
    <t>Foam</t>
  </si>
  <si>
    <t>shape</t>
  </si>
  <si>
    <t>sphere</t>
  </si>
  <si>
    <t>fragment</t>
  </si>
  <si>
    <t>fibre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</si>
</sst>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8/srep179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4578-5548-0843-8486-4B52F2E33519}">
  <dimension ref="A1:A4"/>
  <sheetViews>
    <sheetView workbookViewId="0">
      <selection activeCell="A4" sqref="A4"/>
    </sheetView>
  </sheetViews>
  <sheetFormatPr baseColWidth="10" defaultRowHeight="15" x14ac:dyDescent="0.2"/>
  <sheetData>
    <row r="1" spans="1:1" x14ac:dyDescent="0.2">
      <c r="A1" t="s">
        <v>0</v>
      </c>
    </row>
    <row r="2" spans="1:1" x14ac:dyDescent="0.2">
      <c r="A2" s="1" t="s">
        <v>1</v>
      </c>
    </row>
    <row r="4" spans="1:1" x14ac:dyDescent="0.2">
      <c r="A4" t="s">
        <v>2</v>
      </c>
    </row>
  </sheetData>
  <hyperlinks>
    <hyperlink ref="A2" r:id="rId1" xr:uid="{E318D414-645A-694C-801F-0D4A334B9D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CDE6-98FF-9042-87E2-4F0A21BD0DAD}">
  <dimension ref="A1:B3"/>
  <sheetViews>
    <sheetView zoomScale="140" zoomScaleNormal="140" workbookViewId="0">
      <selection activeCell="H6" sqref="H6"/>
    </sheetView>
  </sheetViews>
  <sheetFormatPr baseColWidth="10" defaultRowHeight="15" x14ac:dyDescent="0.2"/>
  <cols>
    <col min="1" max="1" width="17.1640625" bestFit="1" customWidth="1"/>
  </cols>
  <sheetData>
    <row r="1" spans="1:2" x14ac:dyDescent="0.2">
      <c r="A1" t="s">
        <v>3</v>
      </c>
      <c r="B1">
        <f>39/118</f>
        <v>0.33050847457627119</v>
      </c>
    </row>
    <row r="2" spans="1:2" x14ac:dyDescent="0.2">
      <c r="A2" t="s">
        <v>4</v>
      </c>
      <c r="B2">
        <f>60/118</f>
        <v>0.50847457627118642</v>
      </c>
    </row>
    <row r="3" spans="1:2" x14ac:dyDescent="0.2">
      <c r="A3" t="s">
        <v>5</v>
      </c>
      <c r="B3">
        <f>19/118</f>
        <v>0.16101694915254236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DCD0-F805-B24C-80C2-599CCFD0F642}">
  <dimension ref="A1:E21"/>
  <sheetViews>
    <sheetView tabSelected="1" zoomScale="150" zoomScaleNormal="150" workbookViewId="0">
      <selection activeCell="B22" sqref="B22"/>
    </sheetView>
  </sheetViews>
  <sheetFormatPr baseColWidth="10" defaultRowHeight="15" x14ac:dyDescent="0.2"/>
  <cols>
    <col min="1" max="1" width="18.33203125" bestFit="1" customWidth="1"/>
    <col min="2" max="2" width="18.33203125" customWidth="1"/>
    <col min="4" max="4" width="16.6640625" bestFit="1" customWidth="1"/>
  </cols>
  <sheetData>
    <row r="1" spans="1:5" x14ac:dyDescent="0.2">
      <c r="A1" t="s">
        <v>15</v>
      </c>
      <c r="B1" t="s">
        <v>23</v>
      </c>
      <c r="C1" t="s">
        <v>13</v>
      </c>
      <c r="D1" t="s">
        <v>14</v>
      </c>
      <c r="E1" t="s">
        <v>19</v>
      </c>
    </row>
    <row r="2" spans="1:5" x14ac:dyDescent="0.2">
      <c r="A2" t="s">
        <v>16</v>
      </c>
      <c r="B2" t="s">
        <v>24</v>
      </c>
      <c r="C2" t="s">
        <v>6</v>
      </c>
      <c r="D2">
        <f>ROUND(26*0.692, 0)</f>
        <v>18</v>
      </c>
    </row>
    <row r="3" spans="1:5" x14ac:dyDescent="0.2">
      <c r="A3" t="s">
        <v>16</v>
      </c>
      <c r="B3" t="s">
        <v>24</v>
      </c>
      <c r="C3" t="s">
        <v>7</v>
      </c>
      <c r="D3">
        <f>ROUND(26*0.154, 0)</f>
        <v>4</v>
      </c>
    </row>
    <row r="4" spans="1:5" x14ac:dyDescent="0.2">
      <c r="A4" t="s">
        <v>16</v>
      </c>
      <c r="B4" t="s">
        <v>24</v>
      </c>
      <c r="C4" t="s">
        <v>8</v>
      </c>
      <c r="D4">
        <f>ROUND(26*0.038, 0)</f>
        <v>1</v>
      </c>
    </row>
    <row r="5" spans="1:5" x14ac:dyDescent="0.2">
      <c r="A5" t="s">
        <v>16</v>
      </c>
      <c r="B5" t="s">
        <v>24</v>
      </c>
      <c r="C5" t="s">
        <v>9</v>
      </c>
      <c r="D5">
        <f>ROUND(26*0.038, 0)</f>
        <v>1</v>
      </c>
    </row>
    <row r="6" spans="1:5" x14ac:dyDescent="0.2">
      <c r="A6" t="s">
        <v>16</v>
      </c>
      <c r="B6" t="s">
        <v>24</v>
      </c>
      <c r="C6" t="s">
        <v>12</v>
      </c>
      <c r="D6">
        <f>ROUND(26*0.077, 0)</f>
        <v>2</v>
      </c>
    </row>
    <row r="7" spans="1:5" x14ac:dyDescent="0.2">
      <c r="A7" t="s">
        <v>17</v>
      </c>
      <c r="B7" t="s">
        <v>24</v>
      </c>
      <c r="C7" t="s">
        <v>6</v>
      </c>
      <c r="D7">
        <f>ROUND(13*0.846, 0)</f>
        <v>11</v>
      </c>
    </row>
    <row r="8" spans="1:5" x14ac:dyDescent="0.2">
      <c r="A8" t="s">
        <v>17</v>
      </c>
      <c r="B8" t="s">
        <v>24</v>
      </c>
      <c r="C8" t="s">
        <v>10</v>
      </c>
      <c r="D8">
        <f>ROUND(13*0.154, 0)</f>
        <v>2</v>
      </c>
    </row>
    <row r="9" spans="1:5" x14ac:dyDescent="0.2">
      <c r="A9" t="s">
        <v>18</v>
      </c>
      <c r="B9" t="s">
        <v>25</v>
      </c>
      <c r="C9" t="s">
        <v>6</v>
      </c>
      <c r="D9">
        <f>ROUND(55*0.182, 0)</f>
        <v>10</v>
      </c>
    </row>
    <row r="10" spans="1:5" x14ac:dyDescent="0.2">
      <c r="A10" t="s">
        <v>18</v>
      </c>
      <c r="B10" t="s">
        <v>25</v>
      </c>
      <c r="C10" t="s">
        <v>7</v>
      </c>
      <c r="D10">
        <f>ROUND(55*0.418, 0)</f>
        <v>23</v>
      </c>
    </row>
    <row r="11" spans="1:5" x14ac:dyDescent="0.2">
      <c r="A11" t="s">
        <v>18</v>
      </c>
      <c r="B11" t="s">
        <v>25</v>
      </c>
      <c r="C11" t="s">
        <v>8</v>
      </c>
      <c r="D11">
        <f>ROUND(55*0.109, 0)</f>
        <v>6</v>
      </c>
    </row>
    <row r="12" spans="1:5" x14ac:dyDescent="0.2">
      <c r="A12" t="s">
        <v>18</v>
      </c>
      <c r="B12" t="s">
        <v>25</v>
      </c>
      <c r="C12" t="s">
        <v>11</v>
      </c>
      <c r="D12">
        <v>5</v>
      </c>
      <c r="E12" t="s">
        <v>20</v>
      </c>
    </row>
    <row r="13" spans="1:5" x14ac:dyDescent="0.2">
      <c r="A13" t="s">
        <v>18</v>
      </c>
      <c r="B13" t="s">
        <v>25</v>
      </c>
      <c r="C13" t="s">
        <v>12</v>
      </c>
      <c r="D13">
        <f>ROUND(55*0.2, 0)</f>
        <v>11</v>
      </c>
    </row>
    <row r="14" spans="1:5" x14ac:dyDescent="0.2">
      <c r="A14" t="s">
        <v>21</v>
      </c>
      <c r="B14" t="s">
        <v>26</v>
      </c>
      <c r="C14" t="s">
        <v>6</v>
      </c>
      <c r="D14">
        <f>ROUND(19*0.053,0)</f>
        <v>1</v>
      </c>
    </row>
    <row r="15" spans="1:5" x14ac:dyDescent="0.2">
      <c r="A15" t="s">
        <v>21</v>
      </c>
      <c r="B15" t="s">
        <v>26</v>
      </c>
      <c r="C15" t="s">
        <v>7</v>
      </c>
      <c r="D15">
        <f>ROUND(19*0.053,0)</f>
        <v>1</v>
      </c>
    </row>
    <row r="16" spans="1:5" x14ac:dyDescent="0.2">
      <c r="A16" t="s">
        <v>21</v>
      </c>
      <c r="B16" t="s">
        <v>26</v>
      </c>
      <c r="C16" t="s">
        <v>8</v>
      </c>
      <c r="D16">
        <f>ROUND(19*0.684,0)</f>
        <v>13</v>
      </c>
    </row>
    <row r="17" spans="1:4" x14ac:dyDescent="0.2">
      <c r="A17" t="s">
        <v>21</v>
      </c>
      <c r="B17" t="s">
        <v>26</v>
      </c>
      <c r="C17" t="s">
        <v>11</v>
      </c>
      <c r="D17">
        <f>ROUND(19*0.053,0)</f>
        <v>1</v>
      </c>
    </row>
    <row r="18" spans="1:4" x14ac:dyDescent="0.2">
      <c r="A18" t="s">
        <v>21</v>
      </c>
      <c r="B18" t="s">
        <v>26</v>
      </c>
      <c r="C18" t="s">
        <v>9</v>
      </c>
      <c r="D18">
        <f>ROUND(19*0.053,0)</f>
        <v>1</v>
      </c>
    </row>
    <row r="19" spans="1:4" x14ac:dyDescent="0.2">
      <c r="A19" t="s">
        <v>21</v>
      </c>
      <c r="B19" t="s">
        <v>26</v>
      </c>
      <c r="C19" t="s">
        <v>12</v>
      </c>
      <c r="D19">
        <f>ROUND(19*0.105,0)</f>
        <v>2</v>
      </c>
    </row>
    <row r="20" spans="1:4" x14ac:dyDescent="0.2">
      <c r="A20" t="s">
        <v>22</v>
      </c>
      <c r="B20" t="s">
        <v>25</v>
      </c>
      <c r="C20" t="s">
        <v>6</v>
      </c>
      <c r="D20">
        <f>ROUND(5*0.8,0)</f>
        <v>4</v>
      </c>
    </row>
    <row r="21" spans="1:4" x14ac:dyDescent="0.2">
      <c r="A21" t="s">
        <v>22</v>
      </c>
      <c r="B21" t="s">
        <v>25</v>
      </c>
      <c r="C21" t="s">
        <v>12</v>
      </c>
      <c r="D21">
        <f>ROUND(5*0.2,0)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ManiEtAl2016_extracted_data</vt:lpstr>
      <vt:lpstr>Polymer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Mair, Magdalena</dc:creator>
  <cp:lastModifiedBy>Mair, Magdalena</cp:lastModifiedBy>
  <dcterms:created xsi:type="dcterms:W3CDTF">2024-07-30T13:34:39Z</dcterms:created>
  <dcterms:modified xsi:type="dcterms:W3CDTF">2024-07-30T13:58:14Z</dcterms:modified>
</cp:coreProperties>
</file>