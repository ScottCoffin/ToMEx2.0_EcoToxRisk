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Katharina\Documents\PhD\Rheinaue ML\MP_Rhein\"/>
    </mc:Choice>
  </mc:AlternateContent>
  <xr:revisionPtr revIDLastSave="0" documentId="13_ncr:1_{DA8BD529-687C-43EE-B004-DAA3751F7DA8}" xr6:coauthVersionLast="37" xr6:coauthVersionMax="45" xr10:uidLastSave="{00000000-0000-0000-0000-000000000000}"/>
  <bookViews>
    <workbookView xWindow="0" yWindow="0" windowWidth="23040" windowHeight="8484" xr2:uid="{00000000-000D-0000-FFFF-FFFF00000000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E36" i="1"/>
  <c r="F20" i="1"/>
  <c r="E20" i="1"/>
  <c r="E44" i="1" l="1"/>
  <c r="E28" i="1"/>
  <c r="F28" i="1" l="1"/>
  <c r="F44" i="1"/>
  <c r="D4" i="1" l="1"/>
  <c r="D46" i="1"/>
  <c r="D45" i="1"/>
  <c r="D44" i="1"/>
  <c r="D42" i="1"/>
  <c r="D38" i="1"/>
  <c r="D37" i="1"/>
  <c r="D36" i="1"/>
  <c r="D34" i="1"/>
  <c r="D30" i="1"/>
  <c r="D29" i="1"/>
  <c r="D28" i="1"/>
  <c r="D26" i="1"/>
  <c r="D22" i="1"/>
  <c r="D21" i="1"/>
  <c r="D20" i="1"/>
  <c r="D18" i="1"/>
  <c r="D14" i="1"/>
  <c r="D13" i="1"/>
  <c r="D12" i="1"/>
  <c r="D10" i="1"/>
  <c r="D6" i="1"/>
  <c r="D5" i="1"/>
  <c r="D2" i="1"/>
</calcChain>
</file>

<file path=xl/sharedStrings.xml><?xml version="1.0" encoding="utf-8"?>
<sst xmlns="http://schemas.openxmlformats.org/spreadsheetml/2006/main" count="80" uniqueCount="20">
  <si>
    <t>Probenahme</t>
  </si>
  <si>
    <t>Replikat 1</t>
  </si>
  <si>
    <t>Aluschiffchen leer</t>
  </si>
  <si>
    <t>Aluschiffchem mit Probe</t>
  </si>
  <si>
    <t>Replikat 2</t>
  </si>
  <si>
    <t>Replikat 3</t>
  </si>
  <si>
    <t xml:space="preserve">Gewicht Replikat </t>
  </si>
  <si>
    <t>Replikate</t>
  </si>
  <si>
    <t>Petrischale mit Filter und Probe, getrocknet mg</t>
  </si>
  <si>
    <t>Petrischale mit sauberem Filter, getrocknet mg</t>
  </si>
  <si>
    <t>Gewicht Probe mg</t>
  </si>
  <si>
    <t>PW 3.3_5-20</t>
  </si>
  <si>
    <t>ML 3.3_0-5</t>
  </si>
  <si>
    <t>PW 3.3_0-5</t>
  </si>
  <si>
    <t>ML 3.3_5-20</t>
  </si>
  <si>
    <t>ML 2.3_0-5</t>
  </si>
  <si>
    <t>ML 2.3_5-20</t>
  </si>
  <si>
    <t>Multiplicator</t>
  </si>
  <si>
    <t>SUM</t>
  </si>
  <si>
    <t>Mulitplicator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</si>
</sst>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9" zoomScaleNormal="100" workbookViewId="0">
      <selection activeCell="F37" sqref="F37"/>
    </sheetView>
  </sheetViews>
  <sheetFormatPr baseColWidth="10" defaultColWidth="11.44140625" defaultRowHeight="14.4" x14ac:dyDescent="0.3"/>
  <cols>
    <col min="1" max="1" width="12.44140625" bestFit="1" customWidth="1"/>
    <col min="2" max="2" width="43.33203125" style="4" bestFit="1" customWidth="1"/>
    <col min="3" max="3" width="43.5546875" style="4" bestFit="1" customWidth="1"/>
    <col min="4" max="4" width="17.5546875" style="4" bestFit="1" customWidth="1"/>
  </cols>
  <sheetData>
    <row r="1" spans="1:4" x14ac:dyDescent="0.3">
      <c r="A1" s="1" t="s">
        <v>0</v>
      </c>
      <c r="B1" s="3" t="s">
        <v>9</v>
      </c>
      <c r="C1" s="3" t="s">
        <v>8</v>
      </c>
      <c r="D1" s="3" t="s">
        <v>10</v>
      </c>
    </row>
    <row r="2" spans="1:4" x14ac:dyDescent="0.3">
      <c r="A2" s="5" t="s">
        <v>13</v>
      </c>
      <c r="B2" s="4">
        <v>50095.5</v>
      </c>
      <c r="C2" s="4">
        <v>50590.6</v>
      </c>
      <c r="D2" s="4">
        <f>+C2-B2</f>
        <v>495.09999999999854</v>
      </c>
    </row>
    <row r="3" spans="1:4" x14ac:dyDescent="0.3">
      <c r="A3" s="1" t="s">
        <v>7</v>
      </c>
      <c r="B3" s="3" t="s">
        <v>2</v>
      </c>
      <c r="C3" s="3" t="s">
        <v>3</v>
      </c>
      <c r="D3" s="3" t="s">
        <v>6</v>
      </c>
    </row>
    <row r="4" spans="1:4" x14ac:dyDescent="0.3">
      <c r="A4" s="2" t="s">
        <v>1</v>
      </c>
      <c r="B4" s="4">
        <v>9.8832000000000004</v>
      </c>
      <c r="C4" s="4">
        <v>12.533200000000001</v>
      </c>
      <c r="D4" s="7">
        <f>+C4-B4</f>
        <v>2.6500000000000004</v>
      </c>
    </row>
    <row r="5" spans="1:4" x14ac:dyDescent="0.3">
      <c r="A5" s="2" t="s">
        <v>4</v>
      </c>
      <c r="B5" s="4">
        <v>9.4458000000000002</v>
      </c>
      <c r="C5" s="4">
        <v>11.4899</v>
      </c>
      <c r="D5" s="4">
        <f>+C5-B5</f>
        <v>2.0441000000000003</v>
      </c>
    </row>
    <row r="6" spans="1:4" x14ac:dyDescent="0.3">
      <c r="A6" s="2" t="s">
        <v>5</v>
      </c>
      <c r="B6" s="7">
        <v>9.2080000000000002</v>
      </c>
      <c r="C6" s="4">
        <v>11.2491</v>
      </c>
      <c r="D6" s="4">
        <f>+C6-B6</f>
        <v>2.0411000000000001</v>
      </c>
    </row>
    <row r="9" spans="1:4" x14ac:dyDescent="0.3">
      <c r="A9" s="1" t="s">
        <v>0</v>
      </c>
      <c r="B9" s="3" t="s">
        <v>9</v>
      </c>
      <c r="C9" s="3" t="s">
        <v>8</v>
      </c>
      <c r="D9" s="3" t="s">
        <v>10</v>
      </c>
    </row>
    <row r="10" spans="1:4" x14ac:dyDescent="0.3">
      <c r="A10" s="5" t="s">
        <v>11</v>
      </c>
      <c r="B10" s="6">
        <v>48851.01</v>
      </c>
      <c r="C10" s="6">
        <v>49288.43</v>
      </c>
      <c r="D10" s="4">
        <f>+C10-B10</f>
        <v>437.41999999999825</v>
      </c>
    </row>
    <row r="11" spans="1:4" x14ac:dyDescent="0.3">
      <c r="A11" s="1" t="s">
        <v>7</v>
      </c>
      <c r="B11" s="3" t="s">
        <v>2</v>
      </c>
      <c r="C11" s="3" t="s">
        <v>3</v>
      </c>
      <c r="D11" s="3" t="s">
        <v>6</v>
      </c>
    </row>
    <row r="12" spans="1:4" x14ac:dyDescent="0.3">
      <c r="A12" s="2" t="s">
        <v>1</v>
      </c>
      <c r="B12" s="7">
        <v>9.1501999999999999</v>
      </c>
      <c r="C12" s="7">
        <v>10.916</v>
      </c>
      <c r="D12" s="4">
        <f>+C12-B12</f>
        <v>1.7658000000000005</v>
      </c>
    </row>
    <row r="13" spans="1:4" x14ac:dyDescent="0.3">
      <c r="A13" s="2" t="s">
        <v>4</v>
      </c>
      <c r="B13" s="7">
        <v>9.1156000000000006</v>
      </c>
      <c r="C13" s="7">
        <v>11.321099999999999</v>
      </c>
      <c r="D13" s="4">
        <f>+C13-B13</f>
        <v>2.2054999999999989</v>
      </c>
    </row>
    <row r="14" spans="1:4" x14ac:dyDescent="0.3">
      <c r="A14" s="2" t="s">
        <v>5</v>
      </c>
      <c r="B14" s="7">
        <v>9.1255000000000006</v>
      </c>
      <c r="C14" s="7">
        <v>10.7346</v>
      </c>
      <c r="D14" s="4">
        <f>+C14-B14</f>
        <v>1.6090999999999998</v>
      </c>
    </row>
    <row r="17" spans="1:6" x14ac:dyDescent="0.3">
      <c r="A17" s="1" t="s">
        <v>0</v>
      </c>
      <c r="B17" s="3" t="s">
        <v>9</v>
      </c>
      <c r="C17" s="3" t="s">
        <v>8</v>
      </c>
      <c r="D17" s="3" t="s">
        <v>10</v>
      </c>
    </row>
    <row r="18" spans="1:6" x14ac:dyDescent="0.3">
      <c r="A18" s="5" t="s">
        <v>12</v>
      </c>
      <c r="B18" s="4">
        <v>27756.1</v>
      </c>
      <c r="C18" s="4">
        <v>28271.82</v>
      </c>
      <c r="D18" s="4">
        <f>+C18-B18</f>
        <v>515.72000000000116</v>
      </c>
    </row>
    <row r="19" spans="1:6" x14ac:dyDescent="0.3">
      <c r="A19" s="1" t="s">
        <v>7</v>
      </c>
      <c r="B19" s="3" t="s">
        <v>2</v>
      </c>
      <c r="C19" s="3" t="s">
        <v>3</v>
      </c>
      <c r="D19" s="3" t="s">
        <v>6</v>
      </c>
      <c r="E19" s="9" t="s">
        <v>18</v>
      </c>
      <c r="F19" s="3" t="s">
        <v>19</v>
      </c>
    </row>
    <row r="20" spans="1:6" x14ac:dyDescent="0.3">
      <c r="A20" s="2" t="s">
        <v>1</v>
      </c>
      <c r="B20" s="7">
        <v>9.1499000000000006</v>
      </c>
      <c r="C20" s="7">
        <v>11.2913</v>
      </c>
      <c r="D20" s="4">
        <f>+C20-B20</f>
        <v>2.1413999999999991</v>
      </c>
      <c r="E20" s="8">
        <f>SUM(D20:D22)</f>
        <v>6.9617000000000004</v>
      </c>
      <c r="F20">
        <f>D18/E20</f>
        <v>74.079606992545081</v>
      </c>
    </row>
    <row r="21" spans="1:6" x14ac:dyDescent="0.3">
      <c r="A21" s="2" t="s">
        <v>4</v>
      </c>
      <c r="B21" s="7">
        <v>8.9041999999999994</v>
      </c>
      <c r="C21" s="7">
        <v>10.9122</v>
      </c>
      <c r="D21" s="7">
        <f>+C21-B21</f>
        <v>2.0080000000000009</v>
      </c>
      <c r="E21" s="8"/>
    </row>
    <row r="22" spans="1:6" x14ac:dyDescent="0.3">
      <c r="A22" s="2" t="s">
        <v>5</v>
      </c>
      <c r="B22" s="7">
        <v>8.7050000000000001</v>
      </c>
      <c r="C22" s="7">
        <v>11.517300000000001</v>
      </c>
      <c r="D22" s="4">
        <f>+C22-B22</f>
        <v>2.8123000000000005</v>
      </c>
      <c r="E22" s="8"/>
    </row>
    <row r="25" spans="1:6" x14ac:dyDescent="0.3">
      <c r="A25" s="1" t="s">
        <v>0</v>
      </c>
      <c r="B25" s="3" t="s">
        <v>9</v>
      </c>
      <c r="C25" s="3" t="s">
        <v>8</v>
      </c>
      <c r="D25" s="3" t="s">
        <v>10</v>
      </c>
    </row>
    <row r="26" spans="1:6" x14ac:dyDescent="0.3">
      <c r="A26" s="5" t="s">
        <v>14</v>
      </c>
      <c r="B26" s="4">
        <v>45882.74</v>
      </c>
      <c r="C26" s="4">
        <v>46322.35</v>
      </c>
      <c r="D26" s="4">
        <f>+C26-B26</f>
        <v>439.61000000000058</v>
      </c>
    </row>
    <row r="27" spans="1:6" x14ac:dyDescent="0.3">
      <c r="A27" s="1" t="s">
        <v>7</v>
      </c>
      <c r="B27" s="3" t="s">
        <v>2</v>
      </c>
      <c r="C27" s="3" t="s">
        <v>3</v>
      </c>
      <c r="D27" s="3" t="s">
        <v>6</v>
      </c>
      <c r="E27" s="3" t="s">
        <v>18</v>
      </c>
      <c r="F27" s="3" t="s">
        <v>17</v>
      </c>
    </row>
    <row r="28" spans="1:6" x14ac:dyDescent="0.3">
      <c r="A28" s="2" t="s">
        <v>1</v>
      </c>
      <c r="B28" s="7">
        <v>9.1704000000000008</v>
      </c>
      <c r="C28" s="7">
        <v>11.243</v>
      </c>
      <c r="D28" s="4">
        <f>+C28-B28</f>
        <v>2.0725999999999996</v>
      </c>
      <c r="E28" s="8">
        <f>SUM(D28:D30)</f>
        <v>5.0689999999999991</v>
      </c>
      <c r="F28">
        <f>D26/E28</f>
        <v>86.725192345630433</v>
      </c>
    </row>
    <row r="29" spans="1:6" x14ac:dyDescent="0.3">
      <c r="A29" s="2" t="s">
        <v>4</v>
      </c>
      <c r="B29" s="7">
        <v>8.7124000000000006</v>
      </c>
      <c r="C29" s="7">
        <v>10.3485</v>
      </c>
      <c r="D29" s="4">
        <f>+C29-B29</f>
        <v>1.636099999999999</v>
      </c>
      <c r="E29" s="8"/>
    </row>
    <row r="30" spans="1:6" x14ac:dyDescent="0.3">
      <c r="A30" s="2" t="s">
        <v>5</v>
      </c>
      <c r="B30" s="7">
        <v>9.0419</v>
      </c>
      <c r="C30" s="7">
        <v>10.402200000000001</v>
      </c>
      <c r="D30" s="4">
        <f>+C30-B30</f>
        <v>1.3603000000000005</v>
      </c>
      <c r="E30" s="8"/>
    </row>
    <row r="33" spans="1:6" x14ac:dyDescent="0.3">
      <c r="A33" s="1" t="s">
        <v>0</v>
      </c>
      <c r="B33" s="3" t="s">
        <v>9</v>
      </c>
      <c r="C33" s="3" t="s">
        <v>8</v>
      </c>
      <c r="D33" s="3" t="s">
        <v>10</v>
      </c>
    </row>
    <row r="34" spans="1:6" x14ac:dyDescent="0.3">
      <c r="A34" s="5" t="s">
        <v>15</v>
      </c>
      <c r="B34" s="4">
        <v>46813.18</v>
      </c>
      <c r="C34" s="4">
        <v>48622.26</v>
      </c>
      <c r="D34" s="4">
        <f>+C34-B34</f>
        <v>1809.0800000000017</v>
      </c>
    </row>
    <row r="35" spans="1:6" x14ac:dyDescent="0.3">
      <c r="A35" s="1" t="s">
        <v>7</v>
      </c>
      <c r="B35" s="3" t="s">
        <v>2</v>
      </c>
      <c r="C35" s="3" t="s">
        <v>3</v>
      </c>
      <c r="D35" s="3" t="s">
        <v>6</v>
      </c>
      <c r="E35" s="9" t="s">
        <v>18</v>
      </c>
      <c r="F35" s="3" t="s">
        <v>17</v>
      </c>
    </row>
    <row r="36" spans="1:6" x14ac:dyDescent="0.3">
      <c r="A36" s="2" t="s">
        <v>1</v>
      </c>
      <c r="B36" s="7">
        <v>9.0424000000000007</v>
      </c>
      <c r="C36" s="7">
        <v>11.5671</v>
      </c>
      <c r="D36" s="4">
        <f>+C36-B36</f>
        <v>2.5246999999999993</v>
      </c>
      <c r="E36" s="8">
        <f>SUM(D36:D38)</f>
        <v>7.2483999999999984</v>
      </c>
      <c r="F36">
        <f>D34/E36</f>
        <v>249.58335632691382</v>
      </c>
    </row>
    <row r="37" spans="1:6" x14ac:dyDescent="0.3">
      <c r="A37" s="2" t="s">
        <v>4</v>
      </c>
      <c r="B37" s="7">
        <v>9.0975000000000001</v>
      </c>
      <c r="C37" s="7">
        <v>11.578200000000001</v>
      </c>
      <c r="D37" s="4">
        <f>+C37-B37</f>
        <v>2.4807000000000006</v>
      </c>
      <c r="E37" s="8"/>
    </row>
    <row r="38" spans="1:6" x14ac:dyDescent="0.3">
      <c r="A38" s="2" t="s">
        <v>5</v>
      </c>
      <c r="B38" s="7">
        <v>8.8983000000000008</v>
      </c>
      <c r="C38" s="7">
        <v>11.141299999999999</v>
      </c>
      <c r="D38" s="7">
        <f>+C38-B38</f>
        <v>2.2429999999999986</v>
      </c>
      <c r="E38" s="8"/>
    </row>
    <row r="41" spans="1:6" x14ac:dyDescent="0.3">
      <c r="A41" s="1" t="s">
        <v>0</v>
      </c>
      <c r="B41" s="3" t="s">
        <v>9</v>
      </c>
      <c r="C41" s="3" t="s">
        <v>8</v>
      </c>
      <c r="D41" s="3" t="s">
        <v>10</v>
      </c>
    </row>
    <row r="42" spans="1:6" x14ac:dyDescent="0.3">
      <c r="A42" s="5" t="s">
        <v>16</v>
      </c>
      <c r="B42" s="4">
        <v>26765.66</v>
      </c>
      <c r="C42" s="4">
        <v>27842.43</v>
      </c>
      <c r="D42" s="4">
        <f>+C42-B42</f>
        <v>1076.7700000000004</v>
      </c>
    </row>
    <row r="43" spans="1:6" x14ac:dyDescent="0.3">
      <c r="A43" s="1" t="s">
        <v>7</v>
      </c>
      <c r="B43" s="3" t="s">
        <v>2</v>
      </c>
      <c r="C43" s="3" t="s">
        <v>3</v>
      </c>
      <c r="D43" s="3" t="s">
        <v>6</v>
      </c>
      <c r="E43" s="3" t="s">
        <v>18</v>
      </c>
      <c r="F43" s="3" t="s">
        <v>17</v>
      </c>
    </row>
    <row r="44" spans="1:6" x14ac:dyDescent="0.3">
      <c r="A44" s="2" t="s">
        <v>1</v>
      </c>
      <c r="B44" s="7">
        <v>8.7490000000000006</v>
      </c>
      <c r="C44" s="7">
        <v>11.195399999999999</v>
      </c>
      <c r="D44" s="4">
        <f>+C44-B44</f>
        <v>2.4463999999999988</v>
      </c>
      <c r="E44" s="8">
        <f>SUM(D44:D46)</f>
        <v>6.6704000000000008</v>
      </c>
      <c r="F44">
        <f>D42/E44</f>
        <v>161.42510194291202</v>
      </c>
    </row>
    <row r="45" spans="1:6" x14ac:dyDescent="0.3">
      <c r="A45" s="2" t="s">
        <v>4</v>
      </c>
      <c r="B45" s="7">
        <v>9.1372999999999998</v>
      </c>
      <c r="C45" s="7">
        <v>11.091100000000001</v>
      </c>
      <c r="D45" s="4">
        <f>+C45-B45</f>
        <v>1.9538000000000011</v>
      </c>
      <c r="E45" s="8"/>
    </row>
    <row r="46" spans="1:6" x14ac:dyDescent="0.3">
      <c r="A46" s="2" t="s">
        <v>5</v>
      </c>
      <c r="B46" s="7">
        <v>9.1222999999999992</v>
      </c>
      <c r="C46" s="7">
        <v>11.3925</v>
      </c>
      <c r="D46" s="4">
        <f>+C46-B46</f>
        <v>2.2702000000000009</v>
      </c>
      <c r="E46" s="8"/>
    </row>
  </sheetData>
  <mergeCells count="4">
    <mergeCell ref="E44:E46"/>
    <mergeCell ref="E28:E30"/>
    <mergeCell ref="E20:E22"/>
    <mergeCell ref="E36:E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Löder</dc:creator>
  <cp:lastModifiedBy>Markus</cp:lastModifiedBy>
  <dcterms:created xsi:type="dcterms:W3CDTF">2020-07-17T12:03:15Z</dcterms:created>
  <dcterms:modified xsi:type="dcterms:W3CDTF">2021-05-11T16:10:01Z</dcterms:modified>
</cp:coreProperties>
</file>