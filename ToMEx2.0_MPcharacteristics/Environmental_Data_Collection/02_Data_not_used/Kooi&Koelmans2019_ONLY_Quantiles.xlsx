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filterPrivacy="1"/>
  <xr:revisionPtr revIDLastSave="0" documentId="8_{63205E5A-4913-B74F-920B-466D2868A141}" xr6:coauthVersionLast="47" xr6:coauthVersionMax="47" xr10:uidLastSave="{00000000-0000-0000-0000-000000000000}"/>
  <bookViews>
    <workbookView xWindow="30180" yWindow="6280" windowWidth="34840" windowHeight="20740" activeTab="1" xr2:uid="{00000000-000D-0000-FFFF-FFFF00000000}"/>
  </bookViews>
  <sheets>
    <sheet name="Overview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" i="2" l="1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6" i="2"/>
  <c r="B10" i="2"/>
  <c r="B11" i="2" s="1"/>
  <c r="B12" i="2" s="1"/>
  <c r="B13" i="2" s="1"/>
  <c r="B14" i="2" s="1"/>
  <c r="B15" i="2" s="1"/>
  <c r="B16" i="2" s="1"/>
  <c r="B17" i="2" s="1"/>
  <c r="B9" i="2"/>
  <c r="B8" i="2"/>
  <c r="B7" i="2"/>
</calcChain>
</file>

<file path=xl/sharedStrings.xml><?xml version="1.0" encoding="utf-8"?>
<sst xmlns="http://schemas.openxmlformats.org/spreadsheetml/2006/main" count="120" uniqueCount="47">
  <si>
    <t xml:space="preserve">In this excelsheet all data as collected from the original printed figures is given. </t>
  </si>
  <si>
    <t>Color coding is used to illustrate which data was used for the regressions</t>
  </si>
  <si>
    <t>GREEN</t>
  </si>
  <si>
    <t>ORANGE</t>
  </si>
  <si>
    <t>data used</t>
  </si>
  <si>
    <t>Readers are reffered to the main text and the supporting information pdf for the selection criteria</t>
  </si>
  <si>
    <t>Size (um)</t>
  </si>
  <si>
    <t>%</t>
  </si>
  <si>
    <t>Bergmann et al., 2017</t>
  </si>
  <si>
    <t>#</t>
  </si>
  <si>
    <t>Cai et al., 2018</t>
  </si>
  <si>
    <t>Enders et al., 2015</t>
  </si>
  <si>
    <t>Fragments</t>
  </si>
  <si>
    <t>Fibers</t>
  </si>
  <si>
    <t>Eo et al., 2019</t>
  </si>
  <si>
    <t>Fragments in sediment</t>
  </si>
  <si>
    <t>Fibers in sediment</t>
  </si>
  <si>
    <t>Fibers in water</t>
  </si>
  <si>
    <t>Fragments in water</t>
  </si>
  <si>
    <t>DL:</t>
  </si>
  <si>
    <t>all in DL</t>
  </si>
  <si>
    <t xml:space="preserve">DL: </t>
  </si>
  <si>
    <t>2577 um</t>
  </si>
  <si>
    <t>824 um</t>
  </si>
  <si>
    <t>343 um</t>
  </si>
  <si>
    <t>n.a.</t>
  </si>
  <si>
    <t>only 0 #&gt; DL</t>
  </si>
  <si>
    <t>Erni-Cassola et al., 2017</t>
  </si>
  <si>
    <t>258  um</t>
  </si>
  <si>
    <t>1 observation &gt; DL</t>
  </si>
  <si>
    <t>N = 199 particles</t>
  </si>
  <si>
    <t>Imhof et al., 2016</t>
  </si>
  <si>
    <t>414 um</t>
  </si>
  <si>
    <t>many observations &gt; DL</t>
  </si>
  <si>
    <t>#/m3</t>
  </si>
  <si>
    <t>&lt;300</t>
  </si>
  <si>
    <t>Isobe et al., 2014</t>
  </si>
  <si>
    <t>Location 1</t>
  </si>
  <si>
    <t>Location 4</t>
  </si>
  <si>
    <t>Location 3</t>
  </si>
  <si>
    <t>Location 2</t>
  </si>
  <si>
    <t>DL: not possible</t>
  </si>
  <si>
    <t>Include only before 0</t>
  </si>
  <si>
    <t>Scheurer &amp; Bigalke, 2018</t>
  </si>
  <si>
    <t>Song et al., 2018</t>
  </si>
  <si>
    <t>Zhang et al., 2019</t>
  </si>
  <si>
    <t>data excluded, because they are below or beyond the detection limit, or have a value of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</si>
</sst>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0" borderId="0" xfId="0" applyNumberFormat="1"/>
    <xf numFmtId="164" fontId="0" fillId="4" borderId="0" xfId="0" applyNumberFormat="1" applyFill="1"/>
    <xf numFmtId="164" fontId="0" fillId="3" borderId="0" xfId="0" applyNumberFormat="1" applyFill="1"/>
    <xf numFmtId="1" fontId="0" fillId="4" borderId="0" xfId="0" applyNumberFormat="1" applyFill="1"/>
    <xf numFmtId="1" fontId="0" fillId="3" borderId="0" xfId="0" applyNumberFormat="1" applyFill="1"/>
    <xf numFmtId="165" fontId="0" fillId="4" borderId="0" xfId="0" applyNumberFormat="1" applyFill="1"/>
    <xf numFmtId="165" fontId="0" fillId="3" borderId="0" xfId="0" applyNumberFormat="1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C19" sqref="C19"/>
    </sheetView>
  </sheetViews>
  <sheetFormatPr baseColWidth="10" defaultColWidth="8.83203125" defaultRowHeight="15" x14ac:dyDescent="0.2"/>
  <sheetData>
    <row r="1" spans="1:2" x14ac:dyDescent="0.2">
      <c r="A1" t="s">
        <v>0</v>
      </c>
    </row>
    <row r="3" spans="1:2" x14ac:dyDescent="0.2">
      <c r="A3" t="s">
        <v>1</v>
      </c>
    </row>
    <row r="5" spans="1:2" x14ac:dyDescent="0.2">
      <c r="A5" s="1" t="s">
        <v>2</v>
      </c>
      <c r="B5" t="s">
        <v>4</v>
      </c>
    </row>
    <row r="6" spans="1:2" x14ac:dyDescent="0.2">
      <c r="A6" s="2" t="s">
        <v>3</v>
      </c>
      <c r="B6" t="s">
        <v>46</v>
      </c>
    </row>
    <row r="8" spans="1:2" x14ac:dyDescent="0.2">
      <c r="A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C505"/>
  <sheetViews>
    <sheetView tabSelected="1" workbookViewId="0">
      <selection activeCell="D21" sqref="D21"/>
    </sheetView>
  </sheetViews>
  <sheetFormatPr baseColWidth="10" defaultColWidth="8.83203125" defaultRowHeight="15" x14ac:dyDescent="0.2"/>
  <sheetData>
    <row r="1" spans="2:55" x14ac:dyDescent="0.2">
      <c r="B1" t="s">
        <v>8</v>
      </c>
      <c r="E1" t="s">
        <v>10</v>
      </c>
      <c r="H1" t="s">
        <v>11</v>
      </c>
      <c r="K1" t="s">
        <v>11</v>
      </c>
      <c r="N1" t="s">
        <v>14</v>
      </c>
      <c r="Q1" t="s">
        <v>14</v>
      </c>
      <c r="T1" t="s">
        <v>14</v>
      </c>
      <c r="W1" t="s">
        <v>14</v>
      </c>
      <c r="Z1" t="s">
        <v>27</v>
      </c>
      <c r="AD1" t="s">
        <v>31</v>
      </c>
      <c r="AG1" t="s">
        <v>36</v>
      </c>
      <c r="AJ1" t="s">
        <v>36</v>
      </c>
      <c r="AM1" t="s">
        <v>36</v>
      </c>
      <c r="AP1" t="s">
        <v>36</v>
      </c>
      <c r="AS1" t="s">
        <v>43</v>
      </c>
      <c r="AV1" t="s">
        <v>44</v>
      </c>
      <c r="AY1" t="s">
        <v>44</v>
      </c>
      <c r="BB1" t="s">
        <v>45</v>
      </c>
    </row>
    <row r="2" spans="2:55" x14ac:dyDescent="0.2">
      <c r="H2" t="s">
        <v>12</v>
      </c>
      <c r="K2" t="s">
        <v>13</v>
      </c>
      <c r="N2" t="s">
        <v>18</v>
      </c>
      <c r="Q2" t="s">
        <v>17</v>
      </c>
      <c r="T2" t="s">
        <v>15</v>
      </c>
      <c r="W2" t="s">
        <v>16</v>
      </c>
      <c r="AG2" t="s">
        <v>37</v>
      </c>
      <c r="AJ2" t="s">
        <v>40</v>
      </c>
      <c r="AM2" t="s">
        <v>39</v>
      </c>
      <c r="AP2" t="s">
        <v>38</v>
      </c>
      <c r="AV2" t="s">
        <v>12</v>
      </c>
      <c r="AY2" t="s">
        <v>13</v>
      </c>
    </row>
    <row r="3" spans="2:55" x14ac:dyDescent="0.2">
      <c r="B3" t="s">
        <v>21</v>
      </c>
      <c r="C3" t="s">
        <v>25</v>
      </c>
      <c r="E3" t="s">
        <v>19</v>
      </c>
      <c r="F3" t="s">
        <v>23</v>
      </c>
      <c r="H3" t="s">
        <v>21</v>
      </c>
      <c r="I3" t="s">
        <v>24</v>
      </c>
      <c r="K3" t="s">
        <v>21</v>
      </c>
      <c r="L3" t="s">
        <v>25</v>
      </c>
      <c r="N3" t="s">
        <v>19</v>
      </c>
      <c r="O3" t="s">
        <v>22</v>
      </c>
      <c r="Q3" t="s">
        <v>21</v>
      </c>
      <c r="R3" t="s">
        <v>25</v>
      </c>
      <c r="T3" t="s">
        <v>19</v>
      </c>
      <c r="U3">
        <v>764</v>
      </c>
      <c r="W3" t="s">
        <v>21</v>
      </c>
      <c r="X3">
        <v>3127</v>
      </c>
      <c r="Z3" t="s">
        <v>19</v>
      </c>
      <c r="AA3" t="s">
        <v>28</v>
      </c>
      <c r="AD3" t="s">
        <v>19</v>
      </c>
      <c r="AE3" t="s">
        <v>32</v>
      </c>
      <c r="AG3" t="s">
        <v>19</v>
      </c>
      <c r="AH3" t="s">
        <v>25</v>
      </c>
      <c r="AJ3" t="s">
        <v>41</v>
      </c>
      <c r="AM3" t="s">
        <v>41</v>
      </c>
      <c r="AP3" t="s">
        <v>41</v>
      </c>
      <c r="AS3" t="s">
        <v>19</v>
      </c>
      <c r="AT3" t="s">
        <v>25</v>
      </c>
      <c r="AV3" t="s">
        <v>19</v>
      </c>
      <c r="AW3" t="s">
        <v>25</v>
      </c>
      <c r="AY3" t="s">
        <v>19</v>
      </c>
      <c r="AZ3" t="s">
        <v>25</v>
      </c>
      <c r="BB3" t="s">
        <v>19</v>
      </c>
      <c r="BC3" t="s">
        <v>25</v>
      </c>
    </row>
    <row r="4" spans="2:55" x14ac:dyDescent="0.2">
      <c r="E4" t="s">
        <v>20</v>
      </c>
      <c r="H4" t="s">
        <v>20</v>
      </c>
      <c r="N4" t="s">
        <v>20</v>
      </c>
      <c r="T4" t="s">
        <v>26</v>
      </c>
      <c r="W4" t="s">
        <v>20</v>
      </c>
      <c r="Z4" t="s">
        <v>29</v>
      </c>
      <c r="AB4" t="s">
        <v>30</v>
      </c>
      <c r="AD4" t="s">
        <v>33</v>
      </c>
      <c r="AJ4" t="s">
        <v>42</v>
      </c>
      <c r="AM4" t="s">
        <v>42</v>
      </c>
      <c r="AP4" t="s">
        <v>42</v>
      </c>
    </row>
    <row r="5" spans="2:55" x14ac:dyDescent="0.2">
      <c r="B5" t="s">
        <v>6</v>
      </c>
      <c r="C5" t="s">
        <v>7</v>
      </c>
      <c r="E5" t="s">
        <v>6</v>
      </c>
      <c r="F5" t="s">
        <v>9</v>
      </c>
      <c r="H5" t="s">
        <v>6</v>
      </c>
      <c r="I5" t="s">
        <v>7</v>
      </c>
      <c r="K5" t="s">
        <v>6</v>
      </c>
      <c r="L5" t="s">
        <v>7</v>
      </c>
      <c r="N5" t="s">
        <v>6</v>
      </c>
      <c r="O5" t="s">
        <v>9</v>
      </c>
      <c r="Q5" t="s">
        <v>6</v>
      </c>
      <c r="R5" t="s">
        <v>9</v>
      </c>
      <c r="T5" t="s">
        <v>6</v>
      </c>
      <c r="U5" t="s">
        <v>9</v>
      </c>
      <c r="W5" t="s">
        <v>6</v>
      </c>
      <c r="X5" t="s">
        <v>9</v>
      </c>
      <c r="Z5" t="s">
        <v>6</v>
      </c>
      <c r="AA5" t="s">
        <v>7</v>
      </c>
      <c r="AB5" t="s">
        <v>9</v>
      </c>
      <c r="AD5" t="s">
        <v>6</v>
      </c>
      <c r="AE5" t="s">
        <v>9</v>
      </c>
      <c r="AG5" t="s">
        <v>6</v>
      </c>
      <c r="AH5" t="s">
        <v>34</v>
      </c>
      <c r="AJ5" t="s">
        <v>6</v>
      </c>
      <c r="AK5" t="s">
        <v>34</v>
      </c>
      <c r="AM5" t="s">
        <v>6</v>
      </c>
      <c r="AN5" t="s">
        <v>34</v>
      </c>
      <c r="AP5" t="s">
        <v>6</v>
      </c>
      <c r="AQ5" t="s">
        <v>34</v>
      </c>
      <c r="AS5" t="s">
        <v>6</v>
      </c>
      <c r="AT5" t="s">
        <v>7</v>
      </c>
      <c r="AV5" t="s">
        <v>6</v>
      </c>
      <c r="AW5" t="s">
        <v>34</v>
      </c>
      <c r="AY5" t="s">
        <v>6</v>
      </c>
      <c r="AZ5" t="s">
        <v>34</v>
      </c>
      <c r="BB5" t="s">
        <v>6</v>
      </c>
      <c r="BC5" t="s">
        <v>9</v>
      </c>
    </row>
    <row r="6" spans="2:55" x14ac:dyDescent="0.2">
      <c r="B6">
        <v>11</v>
      </c>
      <c r="C6" s="5">
        <v>57.044493381383703</v>
      </c>
      <c r="E6">
        <v>25</v>
      </c>
      <c r="F6" s="2">
        <v>14</v>
      </c>
      <c r="H6" s="4">
        <v>10</v>
      </c>
      <c r="I6" s="5">
        <v>19.625850340136001</v>
      </c>
      <c r="K6">
        <v>10</v>
      </c>
      <c r="L6" s="6">
        <v>3.9</v>
      </c>
      <c r="N6">
        <v>35</v>
      </c>
      <c r="O6" s="8">
        <v>274</v>
      </c>
      <c r="Q6">
        <v>35</v>
      </c>
      <c r="R6" s="8">
        <v>3</v>
      </c>
      <c r="T6">
        <v>35</v>
      </c>
      <c r="U6" s="8">
        <v>6</v>
      </c>
      <c r="W6">
        <v>35</v>
      </c>
      <c r="X6" s="8">
        <v>0</v>
      </c>
      <c r="Z6">
        <v>30</v>
      </c>
      <c r="AA6" s="5">
        <v>30.713787835050098</v>
      </c>
      <c r="AB6" s="5">
        <f>199*(AA6/100)</f>
        <v>61.120437791749694</v>
      </c>
      <c r="AD6">
        <v>10</v>
      </c>
      <c r="AE6" s="2">
        <v>3</v>
      </c>
      <c r="AG6" s="2" t="s">
        <v>35</v>
      </c>
      <c r="AH6" s="10">
        <v>1.6145832999999998E-2</v>
      </c>
      <c r="AJ6" s="2" t="s">
        <v>35</v>
      </c>
      <c r="AK6" s="10">
        <v>3.1472578347578298E-3</v>
      </c>
      <c r="AM6" s="2" t="s">
        <v>35</v>
      </c>
      <c r="AN6" s="2">
        <v>0</v>
      </c>
      <c r="AP6" s="2" t="s">
        <v>35</v>
      </c>
      <c r="AQ6" s="10">
        <v>1.2173161054023799E-2</v>
      </c>
      <c r="AS6">
        <v>500</v>
      </c>
      <c r="AT6" s="11">
        <v>70.387020669999998</v>
      </c>
      <c r="AV6" s="4">
        <v>45</v>
      </c>
      <c r="AW6" s="8">
        <v>1946.90265486725</v>
      </c>
      <c r="AY6" s="4">
        <v>45</v>
      </c>
      <c r="AZ6" s="8">
        <v>0</v>
      </c>
      <c r="BB6">
        <v>250</v>
      </c>
      <c r="BC6" s="7">
        <v>1126</v>
      </c>
    </row>
    <row r="7" spans="2:55" x14ac:dyDescent="0.2">
      <c r="B7">
        <f>(25+11)/2</f>
        <v>18</v>
      </c>
      <c r="C7" s="5">
        <v>21.8842368847355</v>
      </c>
      <c r="E7">
        <v>75</v>
      </c>
      <c r="F7" s="3">
        <v>82</v>
      </c>
      <c r="H7" s="4">
        <v>20</v>
      </c>
      <c r="I7" s="5">
        <v>15.78231292517</v>
      </c>
      <c r="K7">
        <v>100</v>
      </c>
      <c r="L7" s="5">
        <v>10.48</v>
      </c>
      <c r="N7">
        <v>75</v>
      </c>
      <c r="O7" s="7">
        <v>1584</v>
      </c>
      <c r="Q7">
        <v>75</v>
      </c>
      <c r="R7" s="8">
        <v>84</v>
      </c>
      <c r="T7">
        <v>75</v>
      </c>
      <c r="U7" s="8">
        <v>52</v>
      </c>
      <c r="W7">
        <v>75</v>
      </c>
      <c r="X7" s="8">
        <v>6</v>
      </c>
      <c r="Z7">
        <v>40</v>
      </c>
      <c r="AA7" s="5">
        <v>16.915954967577498</v>
      </c>
      <c r="AB7" s="5">
        <f t="shared" ref="AB7:AB38" si="0">199*(AA7/100)</f>
        <v>33.662750385479221</v>
      </c>
      <c r="AD7">
        <v>20</v>
      </c>
      <c r="AE7" s="2">
        <v>4</v>
      </c>
      <c r="AG7" s="4">
        <v>350.00000000000097</v>
      </c>
      <c r="AH7" s="10">
        <v>2.4479167E-2</v>
      </c>
      <c r="AJ7" s="4">
        <v>350.00000000000097</v>
      </c>
      <c r="AK7" s="10">
        <v>1.30608974358974E-2</v>
      </c>
      <c r="AM7" s="4">
        <v>350.00000000000097</v>
      </c>
      <c r="AN7" s="10">
        <v>3.0178559304772602E-3</v>
      </c>
      <c r="AP7" s="4">
        <v>350.00000000000097</v>
      </c>
      <c r="AQ7" s="10">
        <v>2.43395394580663E-2</v>
      </c>
      <c r="AS7">
        <v>1000</v>
      </c>
      <c r="AT7" s="11">
        <v>15.00412068</v>
      </c>
      <c r="AV7" s="4">
        <v>75</v>
      </c>
      <c r="AW7" s="8">
        <v>16216.814159292</v>
      </c>
      <c r="AY7" s="4">
        <v>75</v>
      </c>
      <c r="AZ7" s="8">
        <v>255.125093765168</v>
      </c>
      <c r="BB7">
        <v>750</v>
      </c>
      <c r="BC7" s="7">
        <v>425</v>
      </c>
    </row>
    <row r="8" spans="2:55" x14ac:dyDescent="0.2">
      <c r="B8">
        <f>75/2</f>
        <v>37.5</v>
      </c>
      <c r="C8" s="5">
        <v>14.6305246105784</v>
      </c>
      <c r="E8">
        <v>125</v>
      </c>
      <c r="F8" s="3">
        <v>47</v>
      </c>
      <c r="H8" s="4">
        <v>30</v>
      </c>
      <c r="I8" s="5">
        <v>15.408163265306101</v>
      </c>
      <c r="K8">
        <v>200</v>
      </c>
      <c r="L8" s="5">
        <v>8.1</v>
      </c>
      <c r="N8">
        <v>125</v>
      </c>
      <c r="O8" s="7">
        <v>1481</v>
      </c>
      <c r="Q8">
        <v>125</v>
      </c>
      <c r="R8" s="8">
        <v>177</v>
      </c>
      <c r="T8">
        <v>125</v>
      </c>
      <c r="U8" s="7">
        <v>88</v>
      </c>
      <c r="W8">
        <v>125</v>
      </c>
      <c r="X8" s="7">
        <v>8</v>
      </c>
      <c r="Z8">
        <v>50</v>
      </c>
      <c r="AA8" s="5">
        <v>7.1969499616280901</v>
      </c>
      <c r="AB8" s="5">
        <f t="shared" si="0"/>
        <v>14.3219304236399</v>
      </c>
      <c r="AD8">
        <v>30</v>
      </c>
      <c r="AE8" s="2">
        <v>4</v>
      </c>
      <c r="AG8" s="4">
        <v>450.00000000000102</v>
      </c>
      <c r="AH8" s="10">
        <v>3.2812500000000001E-2</v>
      </c>
      <c r="AJ8" s="4">
        <v>450.00000000000102</v>
      </c>
      <c r="AK8" s="10">
        <v>3.1828703703703602E-2</v>
      </c>
      <c r="AM8" s="4">
        <v>450.00000000000102</v>
      </c>
      <c r="AN8" s="10">
        <v>5.0003394663589102E-3</v>
      </c>
      <c r="AP8" s="4">
        <v>450.00000000000102</v>
      </c>
      <c r="AQ8" s="9">
        <v>4.8365381354495203E-2</v>
      </c>
      <c r="AS8">
        <v>1500</v>
      </c>
      <c r="AT8" s="11">
        <v>0.73057220899999997</v>
      </c>
      <c r="AV8" s="4">
        <v>125</v>
      </c>
      <c r="AW8" s="7">
        <v>22323.0088495575</v>
      </c>
      <c r="AY8" s="4">
        <v>125</v>
      </c>
      <c r="AZ8" s="8">
        <v>918.84128314874397</v>
      </c>
      <c r="BB8">
        <v>1250</v>
      </c>
      <c r="BC8" s="7">
        <v>199</v>
      </c>
    </row>
    <row r="9" spans="2:55" x14ac:dyDescent="0.2">
      <c r="B9">
        <f>(50+75)/2</f>
        <v>62.5</v>
      </c>
      <c r="C9" s="5">
        <v>3.6566405839369001</v>
      </c>
      <c r="E9">
        <v>175</v>
      </c>
      <c r="F9" s="3">
        <v>19</v>
      </c>
      <c r="H9" s="4">
        <v>40</v>
      </c>
      <c r="I9" s="5">
        <v>12.176870748299301</v>
      </c>
      <c r="K9">
        <v>300</v>
      </c>
      <c r="L9" s="5">
        <v>7.5</v>
      </c>
      <c r="N9">
        <v>175</v>
      </c>
      <c r="O9" s="7">
        <v>745</v>
      </c>
      <c r="Q9">
        <v>175</v>
      </c>
      <c r="R9" s="7">
        <v>208</v>
      </c>
      <c r="T9">
        <v>175</v>
      </c>
      <c r="U9" s="7">
        <v>44</v>
      </c>
      <c r="W9">
        <v>175</v>
      </c>
      <c r="X9" s="7">
        <v>8</v>
      </c>
      <c r="Z9">
        <v>60</v>
      </c>
      <c r="AA9" s="5">
        <v>6.6936091416662498</v>
      </c>
      <c r="AB9" s="5">
        <f t="shared" si="0"/>
        <v>13.320282191915837</v>
      </c>
      <c r="AD9">
        <v>40</v>
      </c>
      <c r="AE9" s="2">
        <v>2</v>
      </c>
      <c r="AG9" s="4">
        <v>550.00000000000102</v>
      </c>
      <c r="AH9" s="10">
        <v>4.1666666999999998E-2</v>
      </c>
      <c r="AJ9" s="4">
        <v>550.00000000000102</v>
      </c>
      <c r="AK9" s="10">
        <v>5.1117343304843299E-2</v>
      </c>
      <c r="AM9" s="4">
        <v>550.00000000000102</v>
      </c>
      <c r="AN9" s="9">
        <v>2.0198248353588098E-2</v>
      </c>
      <c r="AP9" s="4">
        <v>550.00000000000102</v>
      </c>
      <c r="AQ9" s="9">
        <v>3.6176959338013299E-2</v>
      </c>
      <c r="AS9">
        <v>2000</v>
      </c>
      <c r="AT9" s="11">
        <v>1.2622206419999999</v>
      </c>
      <c r="AV9" s="4">
        <v>175</v>
      </c>
      <c r="AW9" s="7">
        <v>17809.734513274299</v>
      </c>
      <c r="AY9" s="4">
        <v>175</v>
      </c>
      <c r="AZ9" s="8">
        <v>1147.4341437585499</v>
      </c>
      <c r="BB9">
        <v>1750</v>
      </c>
      <c r="BC9" s="7">
        <v>118</v>
      </c>
    </row>
    <row r="10" spans="2:55" x14ac:dyDescent="0.2">
      <c r="B10">
        <f>175/2</f>
        <v>87.5</v>
      </c>
      <c r="C10" s="5">
        <v>1.8689268704228199</v>
      </c>
      <c r="E10">
        <v>225</v>
      </c>
      <c r="F10" s="3">
        <v>14</v>
      </c>
      <c r="H10" s="4">
        <v>50</v>
      </c>
      <c r="I10" s="5">
        <v>8.5034013605442098</v>
      </c>
      <c r="K10">
        <v>400</v>
      </c>
      <c r="L10" s="5">
        <v>8.98</v>
      </c>
      <c r="N10">
        <v>225</v>
      </c>
      <c r="O10" s="7">
        <v>389</v>
      </c>
      <c r="Q10">
        <v>225</v>
      </c>
      <c r="R10" s="7">
        <v>161</v>
      </c>
      <c r="T10">
        <v>225</v>
      </c>
      <c r="U10" s="7">
        <v>38</v>
      </c>
      <c r="W10">
        <v>225</v>
      </c>
      <c r="X10" s="7">
        <v>4</v>
      </c>
      <c r="Z10">
        <v>70</v>
      </c>
      <c r="AA10" s="5">
        <v>6.1899866930458796</v>
      </c>
      <c r="AB10" s="5">
        <f t="shared" si="0"/>
        <v>12.318073519161301</v>
      </c>
      <c r="AD10">
        <v>50</v>
      </c>
      <c r="AE10" s="2">
        <v>4</v>
      </c>
      <c r="AG10" s="4">
        <v>650.00000000000102</v>
      </c>
      <c r="AH10" s="9">
        <v>4.3229166999999999E-2</v>
      </c>
      <c r="AJ10" s="4">
        <v>650.00000000000102</v>
      </c>
      <c r="AK10" s="10">
        <v>3.8635149572649498E-2</v>
      </c>
      <c r="AM10" s="4">
        <v>650.00000000000102</v>
      </c>
      <c r="AN10" s="9">
        <v>1.6691560866318102E-2</v>
      </c>
      <c r="AP10" s="4">
        <v>650.00000000000102</v>
      </c>
      <c r="AQ10" s="9">
        <v>2.4307321870654899E-2</v>
      </c>
      <c r="AS10">
        <v>2500</v>
      </c>
      <c r="AT10" s="11">
        <v>2.433463148</v>
      </c>
      <c r="AV10" s="4">
        <v>225</v>
      </c>
      <c r="AW10" s="7">
        <v>11570.7964601769</v>
      </c>
      <c r="AY10" s="4">
        <v>225</v>
      </c>
      <c r="AZ10" s="7">
        <v>1597.4187000838299</v>
      </c>
      <c r="BB10">
        <v>2250</v>
      </c>
      <c r="BC10" s="7">
        <v>50</v>
      </c>
    </row>
    <row r="11" spans="2:55" x14ac:dyDescent="0.2">
      <c r="B11">
        <f t="shared" ref="B11:B17" si="1">B10+25</f>
        <v>112.5</v>
      </c>
      <c r="C11" s="5">
        <v>0.89517761503401505</v>
      </c>
      <c r="E11">
        <v>275</v>
      </c>
      <c r="F11" s="3">
        <v>7</v>
      </c>
      <c r="H11" s="4">
        <v>60</v>
      </c>
      <c r="I11" s="5">
        <v>7.31292517006802</v>
      </c>
      <c r="K11">
        <v>500</v>
      </c>
      <c r="L11" s="5">
        <v>8.1</v>
      </c>
      <c r="N11">
        <v>275</v>
      </c>
      <c r="O11" s="7">
        <v>262</v>
      </c>
      <c r="Q11">
        <v>275</v>
      </c>
      <c r="R11" s="7">
        <v>159</v>
      </c>
      <c r="T11">
        <v>275</v>
      </c>
      <c r="U11" s="7">
        <v>9</v>
      </c>
      <c r="W11">
        <v>275</v>
      </c>
      <c r="X11" s="7">
        <v>4</v>
      </c>
      <c r="Z11">
        <v>80</v>
      </c>
      <c r="AA11" s="5">
        <v>3.6476543853102501</v>
      </c>
      <c r="AB11" s="5">
        <f t="shared" si="0"/>
        <v>7.2588322267673968</v>
      </c>
      <c r="AD11">
        <v>60</v>
      </c>
      <c r="AE11" s="2">
        <v>10</v>
      </c>
      <c r="AG11" s="4">
        <v>750</v>
      </c>
      <c r="AH11" s="9">
        <v>3.6458333000000002E-2</v>
      </c>
      <c r="AJ11" s="4">
        <v>750</v>
      </c>
      <c r="AK11" s="10">
        <v>4.80235042735042E-2</v>
      </c>
      <c r="AM11" s="4">
        <v>750</v>
      </c>
      <c r="AN11" s="9">
        <v>1.3514155747165401E-2</v>
      </c>
      <c r="AP11" s="4">
        <v>750</v>
      </c>
      <c r="AQ11" s="9">
        <v>4.8333163767083798E-2</v>
      </c>
      <c r="AS11">
        <v>3000</v>
      </c>
      <c r="AT11" s="11">
        <v>2.4528545799999999</v>
      </c>
      <c r="AV11" s="4">
        <v>275</v>
      </c>
      <c r="AW11" s="7">
        <v>6725.6637168141597</v>
      </c>
      <c r="AY11" s="4">
        <v>275</v>
      </c>
      <c r="AZ11" s="7">
        <v>1329.84600450072</v>
      </c>
      <c r="BB11">
        <v>2750</v>
      </c>
      <c r="BC11" s="7">
        <v>41</v>
      </c>
    </row>
    <row r="12" spans="2:55" x14ac:dyDescent="0.2">
      <c r="B12">
        <f t="shared" si="1"/>
        <v>137.5</v>
      </c>
      <c r="C12" s="5">
        <v>0.96795409152046796</v>
      </c>
      <c r="E12">
        <v>325</v>
      </c>
      <c r="F12" s="2">
        <v>0</v>
      </c>
      <c r="H12" s="4">
        <v>70</v>
      </c>
      <c r="I12" s="5">
        <v>4.6598639455782296</v>
      </c>
      <c r="K12">
        <v>600</v>
      </c>
      <c r="L12" s="5">
        <v>5.7</v>
      </c>
      <c r="N12">
        <v>325</v>
      </c>
      <c r="O12" s="7">
        <v>147</v>
      </c>
      <c r="Q12">
        <v>325</v>
      </c>
      <c r="R12" s="7">
        <v>135</v>
      </c>
      <c r="T12">
        <v>325</v>
      </c>
      <c r="U12" s="7">
        <v>13</v>
      </c>
      <c r="W12">
        <v>325</v>
      </c>
      <c r="X12" s="8">
        <v>0</v>
      </c>
      <c r="Z12">
        <v>90</v>
      </c>
      <c r="AA12" s="5">
        <v>8.2424963564292302</v>
      </c>
      <c r="AB12" s="5">
        <f t="shared" si="0"/>
        <v>16.402567749294167</v>
      </c>
      <c r="AD12">
        <v>70</v>
      </c>
      <c r="AE12" s="2">
        <v>7</v>
      </c>
      <c r="AG12" s="4">
        <v>850</v>
      </c>
      <c r="AH12" s="9">
        <v>3.6458333000000002E-2</v>
      </c>
      <c r="AJ12" s="4">
        <v>850</v>
      </c>
      <c r="AK12" s="9">
        <v>7.3566595441595398E-2</v>
      </c>
      <c r="AM12" s="4">
        <v>850</v>
      </c>
      <c r="AN12" s="9">
        <v>1.19424265055333E-2</v>
      </c>
      <c r="AP12" s="4">
        <v>850</v>
      </c>
      <c r="AQ12" s="9">
        <v>2.4286973920710799E-2</v>
      </c>
      <c r="AS12">
        <v>3500</v>
      </c>
      <c r="AT12" s="11">
        <v>2.091850751</v>
      </c>
      <c r="AV12" s="4">
        <v>325</v>
      </c>
      <c r="AW12" s="7">
        <v>4269.9115044247701</v>
      </c>
      <c r="AY12" s="4">
        <v>325</v>
      </c>
      <c r="AZ12" s="7">
        <v>1001.19578167056</v>
      </c>
      <c r="BB12">
        <v>3250</v>
      </c>
      <c r="BC12" s="7">
        <v>22</v>
      </c>
    </row>
    <row r="13" spans="2:55" x14ac:dyDescent="0.2">
      <c r="B13">
        <f t="shared" si="1"/>
        <v>162.5</v>
      </c>
      <c r="C13" s="5">
        <v>0</v>
      </c>
      <c r="E13">
        <v>375</v>
      </c>
      <c r="F13" s="3">
        <v>2</v>
      </c>
      <c r="H13" s="4">
        <v>80</v>
      </c>
      <c r="I13" s="5">
        <v>5.0680272108843498</v>
      </c>
      <c r="K13">
        <v>700</v>
      </c>
      <c r="L13" s="5">
        <v>5.08</v>
      </c>
      <c r="N13">
        <v>375</v>
      </c>
      <c r="O13" s="7">
        <v>90</v>
      </c>
      <c r="Q13">
        <v>375</v>
      </c>
      <c r="R13" s="7">
        <v>185</v>
      </c>
      <c r="T13">
        <v>375</v>
      </c>
      <c r="U13" s="7">
        <v>9</v>
      </c>
      <c r="W13">
        <v>375</v>
      </c>
      <c r="X13" s="8">
        <v>0</v>
      </c>
      <c r="Z13">
        <v>100</v>
      </c>
      <c r="AA13" s="5">
        <v>3.1507910244946502</v>
      </c>
      <c r="AB13" s="5">
        <f t="shared" si="0"/>
        <v>6.2700741387443539</v>
      </c>
      <c r="AD13">
        <v>80</v>
      </c>
      <c r="AE13" s="2">
        <v>7</v>
      </c>
      <c r="AG13" s="4">
        <v>950</v>
      </c>
      <c r="AH13" s="9">
        <v>2.9687499999999999E-2</v>
      </c>
      <c r="AJ13" s="4">
        <v>950</v>
      </c>
      <c r="AK13" s="9">
        <v>5.7438568376068297E-2</v>
      </c>
      <c r="AM13" s="4">
        <v>950</v>
      </c>
      <c r="AN13" s="9">
        <v>8.7582320592029493E-3</v>
      </c>
      <c r="AP13" s="4">
        <v>950</v>
      </c>
      <c r="AQ13" s="9">
        <v>3.0043748092379599E-2</v>
      </c>
      <c r="AS13">
        <v>4000</v>
      </c>
      <c r="AT13" s="11">
        <v>2.113504517</v>
      </c>
      <c r="AV13" s="4">
        <v>375</v>
      </c>
      <c r="AW13" s="7">
        <v>2544.24778761062</v>
      </c>
      <c r="AY13" s="4">
        <v>375</v>
      </c>
      <c r="AZ13" s="7">
        <v>1214.5391166218001</v>
      </c>
      <c r="BB13">
        <v>3750</v>
      </c>
      <c r="BC13" s="7">
        <v>12</v>
      </c>
    </row>
    <row r="14" spans="2:55" x14ac:dyDescent="0.2">
      <c r="B14">
        <f t="shared" si="1"/>
        <v>187.5</v>
      </c>
      <c r="C14" s="5">
        <v>0</v>
      </c>
      <c r="E14">
        <v>425</v>
      </c>
      <c r="F14" s="3">
        <v>7</v>
      </c>
      <c r="H14" s="4">
        <v>90</v>
      </c>
      <c r="I14" s="5">
        <v>3.5034013605442098</v>
      </c>
      <c r="K14">
        <v>800</v>
      </c>
      <c r="L14" s="5">
        <v>6.58</v>
      </c>
      <c r="N14">
        <v>425</v>
      </c>
      <c r="O14" s="7">
        <v>55</v>
      </c>
      <c r="Q14">
        <v>425</v>
      </c>
      <c r="R14" s="7">
        <v>106</v>
      </c>
      <c r="T14">
        <v>425</v>
      </c>
      <c r="U14" s="7">
        <v>4</v>
      </c>
      <c r="W14">
        <v>425</v>
      </c>
      <c r="X14" s="7">
        <v>2</v>
      </c>
      <c r="Z14">
        <v>110</v>
      </c>
      <c r="AA14" s="5">
        <v>5.1968232287317502</v>
      </c>
      <c r="AB14" s="5">
        <f t="shared" si="0"/>
        <v>10.341678225176182</v>
      </c>
      <c r="AD14">
        <v>90</v>
      </c>
      <c r="AE14" s="2">
        <v>8</v>
      </c>
      <c r="AG14" s="4">
        <v>1050</v>
      </c>
      <c r="AH14" s="9">
        <v>2.4479167E-2</v>
      </c>
      <c r="AJ14" s="4">
        <v>1050</v>
      </c>
      <c r="AK14" s="9">
        <v>5.7456374643874597E-2</v>
      </c>
      <c r="AM14" s="4">
        <v>1050</v>
      </c>
      <c r="AN14" s="9">
        <v>3.3233756534727299E-3</v>
      </c>
      <c r="AP14" s="4">
        <v>1050</v>
      </c>
      <c r="AQ14" s="9">
        <v>1.8175806287516499E-2</v>
      </c>
      <c r="AS14">
        <v>4500</v>
      </c>
      <c r="AT14" s="11">
        <v>1.8809689249999999</v>
      </c>
      <c r="AV14" s="4">
        <v>425</v>
      </c>
      <c r="AW14" s="7">
        <v>1814.1592920353901</v>
      </c>
      <c r="AY14" s="4">
        <v>425</v>
      </c>
      <c r="AZ14" s="7">
        <v>1130.1725279089201</v>
      </c>
      <c r="BB14">
        <v>4250</v>
      </c>
      <c r="BC14" s="7">
        <v>7</v>
      </c>
    </row>
    <row r="15" spans="2:55" x14ac:dyDescent="0.2">
      <c r="B15">
        <f t="shared" si="1"/>
        <v>212.5</v>
      </c>
      <c r="C15" s="5">
        <v>0</v>
      </c>
      <c r="E15">
        <v>475</v>
      </c>
      <c r="F15" s="3">
        <v>2</v>
      </c>
      <c r="H15" s="4">
        <v>100</v>
      </c>
      <c r="I15" s="5">
        <v>1.93877551020407</v>
      </c>
      <c r="K15">
        <v>900</v>
      </c>
      <c r="L15" s="5">
        <v>4.2</v>
      </c>
      <c r="N15">
        <v>475</v>
      </c>
      <c r="O15" s="7">
        <v>32</v>
      </c>
      <c r="Q15">
        <v>475</v>
      </c>
      <c r="R15" s="7">
        <v>135</v>
      </c>
      <c r="T15">
        <v>475</v>
      </c>
      <c r="U15" s="7">
        <v>4</v>
      </c>
      <c r="W15">
        <v>475</v>
      </c>
      <c r="X15" s="8">
        <v>0</v>
      </c>
      <c r="Z15">
        <v>120</v>
      </c>
      <c r="AA15" s="5">
        <v>3.6735642218952198</v>
      </c>
      <c r="AB15" s="5">
        <f t="shared" si="0"/>
        <v>7.3103928015714867</v>
      </c>
      <c r="AD15">
        <v>100</v>
      </c>
      <c r="AE15" s="2">
        <v>7</v>
      </c>
      <c r="AG15" s="4">
        <v>1150</v>
      </c>
      <c r="AH15" s="9">
        <v>2.1874999999999999E-2</v>
      </c>
      <c r="AJ15" s="4">
        <v>1150</v>
      </c>
      <c r="AK15" s="9">
        <v>3.8198896011395998E-2</v>
      </c>
      <c r="AM15" s="4">
        <v>1150</v>
      </c>
      <c r="AN15" s="9">
        <v>1.7516464118405501E-3</v>
      </c>
      <c r="AP15" s="4">
        <v>1150</v>
      </c>
      <c r="AQ15" s="9">
        <v>5.9873842710347304E-3</v>
      </c>
      <c r="AS15">
        <v>5000</v>
      </c>
      <c r="AT15" s="11">
        <v>1.646817381</v>
      </c>
      <c r="AV15" s="4">
        <v>475</v>
      </c>
      <c r="AW15" s="7">
        <v>1216.8141592920299</v>
      </c>
      <c r="AY15" s="4">
        <v>475</v>
      </c>
      <c r="AZ15" s="7">
        <v>679.40255041256603</v>
      </c>
      <c r="BB15">
        <v>4750</v>
      </c>
      <c r="BC15" s="7">
        <v>7</v>
      </c>
    </row>
    <row r="16" spans="2:55" x14ac:dyDescent="0.2">
      <c r="B16">
        <f t="shared" si="1"/>
        <v>237.5</v>
      </c>
      <c r="C16" s="5">
        <v>0</v>
      </c>
      <c r="E16">
        <v>525</v>
      </c>
      <c r="F16" s="3">
        <v>3</v>
      </c>
      <c r="H16" s="4">
        <v>110</v>
      </c>
      <c r="I16" s="5">
        <v>1.3945578231292499</v>
      </c>
      <c r="K16">
        <v>1000</v>
      </c>
      <c r="L16" s="5">
        <v>3.9</v>
      </c>
      <c r="N16">
        <v>525</v>
      </c>
      <c r="O16" s="7">
        <v>32</v>
      </c>
      <c r="Q16">
        <v>525</v>
      </c>
      <c r="R16" s="7">
        <v>107</v>
      </c>
      <c r="T16">
        <v>525</v>
      </c>
      <c r="U16" s="7">
        <v>2</v>
      </c>
      <c r="W16">
        <v>525</v>
      </c>
      <c r="X16" s="8">
        <v>0</v>
      </c>
      <c r="Z16">
        <v>130</v>
      </c>
      <c r="AA16" s="5">
        <v>2.15058684371721</v>
      </c>
      <c r="AB16" s="5">
        <f t="shared" si="0"/>
        <v>4.2796678189972486</v>
      </c>
      <c r="AD16">
        <v>110</v>
      </c>
      <c r="AE16" s="2">
        <v>8</v>
      </c>
      <c r="AG16" s="4">
        <v>1250</v>
      </c>
      <c r="AH16" s="9">
        <v>1.5104167E-2</v>
      </c>
      <c r="AJ16" s="4">
        <v>1250</v>
      </c>
      <c r="AK16" s="9">
        <v>4.1858084045583999E-2</v>
      </c>
      <c r="AM16" s="4">
        <v>1250</v>
      </c>
      <c r="AN16" s="9">
        <v>5.3398058252427296E-3</v>
      </c>
      <c r="AP16" s="4">
        <v>1250</v>
      </c>
      <c r="AQ16" s="9">
        <v>5.9772102960626797E-3</v>
      </c>
      <c r="AV16" s="4">
        <v>525</v>
      </c>
      <c r="AW16" s="7">
        <v>1150.4424778760999</v>
      </c>
      <c r="AY16" s="4">
        <v>525</v>
      </c>
      <c r="AZ16" s="7">
        <v>656.08701407580702</v>
      </c>
    </row>
    <row r="17" spans="2:52" x14ac:dyDescent="0.2">
      <c r="B17">
        <f t="shared" si="1"/>
        <v>262.5</v>
      </c>
      <c r="C17" s="5">
        <v>0</v>
      </c>
      <c r="E17">
        <v>575</v>
      </c>
      <c r="F17" s="2">
        <v>0</v>
      </c>
      <c r="H17" s="4">
        <v>120</v>
      </c>
      <c r="I17" s="5">
        <v>0.78231292517006701</v>
      </c>
      <c r="K17">
        <v>1100</v>
      </c>
      <c r="L17" s="5">
        <v>2.98</v>
      </c>
      <c r="N17">
        <v>575</v>
      </c>
      <c r="O17" s="7">
        <v>44</v>
      </c>
      <c r="Q17">
        <v>575</v>
      </c>
      <c r="R17" s="7">
        <v>86</v>
      </c>
      <c r="T17">
        <v>575</v>
      </c>
      <c r="U17" s="8">
        <v>0</v>
      </c>
      <c r="W17">
        <v>575</v>
      </c>
      <c r="X17" s="8">
        <v>0</v>
      </c>
      <c r="Z17">
        <v>140</v>
      </c>
      <c r="AA17" s="5">
        <v>1.13799100196436</v>
      </c>
      <c r="AB17" s="5">
        <f t="shared" si="0"/>
        <v>2.2646020939090761</v>
      </c>
      <c r="AD17">
        <v>120</v>
      </c>
      <c r="AE17" s="2">
        <v>6</v>
      </c>
      <c r="AG17" s="4">
        <v>1350</v>
      </c>
      <c r="AH17" s="9">
        <v>1.3541667E-2</v>
      </c>
      <c r="AJ17" s="4">
        <v>1350</v>
      </c>
      <c r="AK17" s="9">
        <v>2.00008903133903E-2</v>
      </c>
      <c r="AM17" s="4">
        <v>1350</v>
      </c>
      <c r="AN17" s="9">
        <v>3.7748659107881802E-3</v>
      </c>
      <c r="AP17" s="4">
        <v>1350</v>
      </c>
      <c r="AQ17" s="9">
        <v>2.423271272086E-2</v>
      </c>
      <c r="AV17" s="4">
        <v>575</v>
      </c>
      <c r="AW17" s="7">
        <v>486.72566371681302</v>
      </c>
      <c r="AY17" s="4">
        <v>575</v>
      </c>
      <c r="AZ17" s="7">
        <v>586.97877597846696</v>
      </c>
    </row>
    <row r="18" spans="2:52" x14ac:dyDescent="0.2">
      <c r="E18">
        <v>625</v>
      </c>
      <c r="F18" s="2">
        <v>0</v>
      </c>
      <c r="H18" s="4">
        <v>130</v>
      </c>
      <c r="I18" s="5">
        <v>0.578231292517006</v>
      </c>
      <c r="K18">
        <v>1200</v>
      </c>
      <c r="L18" s="5">
        <v>1.5</v>
      </c>
      <c r="N18">
        <v>625</v>
      </c>
      <c r="O18" s="7">
        <v>21</v>
      </c>
      <c r="Q18">
        <v>625</v>
      </c>
      <c r="R18" s="7">
        <v>84</v>
      </c>
      <c r="T18">
        <v>625</v>
      </c>
      <c r="U18" s="8">
        <v>0</v>
      </c>
      <c r="W18">
        <v>625</v>
      </c>
      <c r="X18" s="7">
        <v>4</v>
      </c>
      <c r="Z18">
        <v>150</v>
      </c>
      <c r="AA18" s="5">
        <v>1.10525167040998</v>
      </c>
      <c r="AB18" s="5">
        <f t="shared" si="0"/>
        <v>2.1994508241158601</v>
      </c>
      <c r="AD18">
        <v>130</v>
      </c>
      <c r="AE18" s="3">
        <v>14</v>
      </c>
      <c r="AG18" s="4">
        <v>1450</v>
      </c>
      <c r="AH18" s="9">
        <v>9.3749999999999997E-3</v>
      </c>
      <c r="AJ18" s="4">
        <v>1450</v>
      </c>
      <c r="AK18" s="9">
        <v>3.8768696581196499E-2</v>
      </c>
      <c r="AM18" s="4">
        <v>1450</v>
      </c>
      <c r="AN18" s="9">
        <v>8.97549052888863E-3</v>
      </c>
      <c r="AP18" s="4">
        <v>1450</v>
      </c>
      <c r="AQ18" s="9">
        <v>1.81334147251331E-2</v>
      </c>
      <c r="AV18" s="4">
        <v>625</v>
      </c>
      <c r="AW18" s="7">
        <v>486.72566371681302</v>
      </c>
      <c r="AY18" s="4">
        <v>625</v>
      </c>
      <c r="AZ18" s="7">
        <v>609.47359131624205</v>
      </c>
    </row>
    <row r="19" spans="2:52" x14ac:dyDescent="0.2">
      <c r="E19">
        <v>675</v>
      </c>
      <c r="F19" s="3">
        <v>2</v>
      </c>
      <c r="H19" s="4">
        <v>140</v>
      </c>
      <c r="I19" s="5">
        <v>0.37414965986394499</v>
      </c>
      <c r="K19">
        <v>1300</v>
      </c>
      <c r="L19" s="5">
        <v>2.42</v>
      </c>
      <c r="N19">
        <v>675</v>
      </c>
      <c r="O19" s="8">
        <v>0</v>
      </c>
      <c r="Q19">
        <v>675</v>
      </c>
      <c r="R19" s="7">
        <v>78</v>
      </c>
      <c r="T19">
        <v>675</v>
      </c>
      <c r="U19" s="7">
        <v>4</v>
      </c>
      <c r="W19">
        <v>675</v>
      </c>
      <c r="X19" s="7">
        <v>2</v>
      </c>
      <c r="Z19">
        <v>160</v>
      </c>
      <c r="AA19" s="5">
        <v>0.60191085044814197</v>
      </c>
      <c r="AB19" s="5">
        <f t="shared" si="0"/>
        <v>1.1978025923918025</v>
      </c>
      <c r="AD19">
        <v>140</v>
      </c>
      <c r="AE19" s="3">
        <v>4</v>
      </c>
      <c r="AG19" s="4">
        <v>1550</v>
      </c>
      <c r="AH19" s="9">
        <v>1.2500000000000001E-2</v>
      </c>
      <c r="AJ19" s="4">
        <v>1550</v>
      </c>
      <c r="AK19" s="9">
        <v>2.9932336182336101E-2</v>
      </c>
      <c r="AM19" s="4">
        <v>1550</v>
      </c>
      <c r="AN19" s="9">
        <v>5.4688030416185597E-3</v>
      </c>
      <c r="AP19" s="4">
        <v>1550</v>
      </c>
      <c r="AQ19" s="9">
        <v>1.20324210669108E-2</v>
      </c>
      <c r="AV19" s="4">
        <v>675</v>
      </c>
      <c r="AW19" s="7">
        <v>420.353982300886</v>
      </c>
      <c r="AY19" s="4">
        <v>675</v>
      </c>
      <c r="AZ19" s="7">
        <v>433.50394916824803</v>
      </c>
    </row>
    <row r="20" spans="2:52" x14ac:dyDescent="0.2">
      <c r="E20">
        <v>725</v>
      </c>
      <c r="F20" s="3">
        <v>1</v>
      </c>
      <c r="H20" s="4">
        <v>150</v>
      </c>
      <c r="I20" s="5">
        <v>0.578231292517006</v>
      </c>
      <c r="K20">
        <v>1400</v>
      </c>
      <c r="L20" s="5">
        <v>2.72</v>
      </c>
      <c r="N20">
        <v>725</v>
      </c>
      <c r="O20" s="8">
        <v>0</v>
      </c>
      <c r="Q20">
        <v>725</v>
      </c>
      <c r="R20" s="7">
        <v>67</v>
      </c>
      <c r="T20">
        <v>725</v>
      </c>
      <c r="U20" s="8">
        <v>0</v>
      </c>
      <c r="W20">
        <v>725</v>
      </c>
      <c r="X20" s="7">
        <v>4</v>
      </c>
      <c r="Z20">
        <v>170</v>
      </c>
      <c r="AA20" s="5">
        <v>1.1182065887024599</v>
      </c>
      <c r="AB20" s="5">
        <f t="shared" si="0"/>
        <v>2.2252311115178953</v>
      </c>
      <c r="AD20">
        <v>150</v>
      </c>
      <c r="AE20" s="3">
        <v>10</v>
      </c>
      <c r="AG20" s="4">
        <v>1650</v>
      </c>
      <c r="AH20" s="9">
        <v>9.3749999999999997E-3</v>
      </c>
      <c r="AJ20" s="4">
        <v>1650</v>
      </c>
      <c r="AK20" s="9">
        <v>1.6924857549857501E-2</v>
      </c>
      <c r="AM20" s="4">
        <v>1650</v>
      </c>
      <c r="AN20" s="9">
        <v>3.9038631271640601E-3</v>
      </c>
      <c r="AP20" s="4">
        <v>1650</v>
      </c>
      <c r="AQ20" s="9">
        <v>5.9331230711839296E-3</v>
      </c>
      <c r="AV20" s="4">
        <v>725</v>
      </c>
      <c r="AW20" s="7">
        <v>287.61061946902498</v>
      </c>
      <c r="AY20" s="4">
        <v>725</v>
      </c>
      <c r="AZ20" s="7">
        <v>310.97824648104802</v>
      </c>
    </row>
    <row r="21" spans="2:52" x14ac:dyDescent="0.2">
      <c r="E21">
        <v>775</v>
      </c>
      <c r="F21" s="2">
        <v>0</v>
      </c>
      <c r="H21" s="4">
        <v>160</v>
      </c>
      <c r="I21" s="5">
        <v>0.20408163265306101</v>
      </c>
      <c r="K21">
        <v>1500</v>
      </c>
      <c r="L21" s="5">
        <v>1.2</v>
      </c>
      <c r="N21">
        <v>775</v>
      </c>
      <c r="O21" s="8">
        <v>0</v>
      </c>
      <c r="Q21">
        <v>775</v>
      </c>
      <c r="R21" s="7">
        <v>70</v>
      </c>
      <c r="T21">
        <v>775</v>
      </c>
      <c r="U21" s="8">
        <v>0</v>
      </c>
      <c r="W21">
        <v>775</v>
      </c>
      <c r="X21" s="7">
        <v>2</v>
      </c>
      <c r="Z21">
        <v>180</v>
      </c>
      <c r="AA21" s="6">
        <v>0</v>
      </c>
      <c r="AB21" s="6">
        <f t="shared" si="0"/>
        <v>0</v>
      </c>
      <c r="AD21">
        <v>160</v>
      </c>
      <c r="AE21" s="3">
        <v>8</v>
      </c>
      <c r="AG21" s="4">
        <v>1750</v>
      </c>
      <c r="AH21" s="9">
        <v>5.7291670000000003E-3</v>
      </c>
      <c r="AJ21" s="4">
        <v>1750</v>
      </c>
      <c r="AK21" s="9">
        <v>2.57923789173789E-2</v>
      </c>
      <c r="AM21" s="4">
        <v>1750</v>
      </c>
      <c r="AN21" s="9">
        <v>3.9445990902300899E-3</v>
      </c>
      <c r="AP21" s="4">
        <v>1750</v>
      </c>
      <c r="AQ21" s="9">
        <v>1.2012073116966801E-2</v>
      </c>
      <c r="AV21" s="4">
        <v>775</v>
      </c>
      <c r="AW21" s="7">
        <v>88.495575221237203</v>
      </c>
      <c r="AY21" s="4">
        <v>775</v>
      </c>
      <c r="AZ21" s="7">
        <v>493.76958037329501</v>
      </c>
    </row>
    <row r="22" spans="2:52" x14ac:dyDescent="0.2">
      <c r="H22" s="4">
        <v>170</v>
      </c>
      <c r="I22" s="6">
        <v>0</v>
      </c>
      <c r="K22">
        <v>1600</v>
      </c>
      <c r="L22" s="5">
        <v>1.8</v>
      </c>
      <c r="N22">
        <v>825</v>
      </c>
      <c r="O22" s="8">
        <v>0</v>
      </c>
      <c r="Q22">
        <v>825</v>
      </c>
      <c r="R22" s="7">
        <v>50</v>
      </c>
      <c r="T22">
        <v>825</v>
      </c>
      <c r="U22" s="8">
        <v>0</v>
      </c>
      <c r="W22">
        <v>825</v>
      </c>
      <c r="X22" s="8">
        <v>0</v>
      </c>
      <c r="Z22">
        <v>190</v>
      </c>
      <c r="AA22" s="5">
        <v>1.1311615069949501</v>
      </c>
      <c r="AB22" s="5">
        <f t="shared" si="0"/>
        <v>2.2510113989199509</v>
      </c>
      <c r="AD22">
        <v>170</v>
      </c>
      <c r="AE22" s="3">
        <v>6</v>
      </c>
      <c r="AG22" s="4">
        <v>1850</v>
      </c>
      <c r="AH22" s="9">
        <v>5.7291670000000003E-3</v>
      </c>
      <c r="AJ22" s="4">
        <v>1850</v>
      </c>
      <c r="AK22" s="9">
        <v>4.5081018518518499E-2</v>
      </c>
      <c r="AM22" s="4">
        <v>1850</v>
      </c>
      <c r="AN22" s="9">
        <v>3.9921243804738604E-3</v>
      </c>
      <c r="AP22" s="4">
        <v>1850</v>
      </c>
      <c r="AQ22" s="9">
        <v>1.80910231627497E-2</v>
      </c>
      <c r="AV22" s="4">
        <v>825</v>
      </c>
      <c r="AW22" s="7">
        <v>420.353982300886</v>
      </c>
      <c r="AY22" s="4">
        <v>825</v>
      </c>
      <c r="AZ22" s="7">
        <v>371.21740281516003</v>
      </c>
    </row>
    <row r="23" spans="2:52" x14ac:dyDescent="0.2">
      <c r="H23" s="4">
        <v>180</v>
      </c>
      <c r="I23" s="5">
        <v>0.20408163265306101</v>
      </c>
      <c r="K23">
        <v>1700</v>
      </c>
      <c r="L23" s="5">
        <v>2.1</v>
      </c>
      <c r="N23">
        <v>875</v>
      </c>
      <c r="O23" s="8">
        <v>0</v>
      </c>
      <c r="Q23">
        <v>875</v>
      </c>
      <c r="R23" s="7">
        <v>19</v>
      </c>
      <c r="T23">
        <v>875</v>
      </c>
      <c r="U23" s="8">
        <v>0</v>
      </c>
      <c r="W23">
        <v>875</v>
      </c>
      <c r="X23" s="8">
        <v>0</v>
      </c>
      <c r="Z23">
        <v>200</v>
      </c>
      <c r="AA23" s="6">
        <v>0</v>
      </c>
      <c r="AB23" s="6">
        <f t="shared" si="0"/>
        <v>0</v>
      </c>
      <c r="AD23">
        <v>180</v>
      </c>
      <c r="AE23" s="3">
        <v>4</v>
      </c>
      <c r="AG23" s="4">
        <v>1950</v>
      </c>
      <c r="AH23" s="9">
        <v>8.3333330000000001E-3</v>
      </c>
      <c r="AJ23" s="4">
        <v>1950</v>
      </c>
      <c r="AK23" s="9">
        <v>2.0098824786324701E-2</v>
      </c>
      <c r="AM23" s="4">
        <v>1950</v>
      </c>
      <c r="AN23" s="9">
        <v>4.0328603435398902E-3</v>
      </c>
      <c r="AP23" s="4">
        <v>1950</v>
      </c>
      <c r="AQ23" s="9">
        <v>5.9009054837725304E-3</v>
      </c>
      <c r="AV23" s="4">
        <v>875</v>
      </c>
      <c r="AW23" s="7">
        <v>154.867256637167</v>
      </c>
      <c r="AY23" s="4">
        <v>875</v>
      </c>
      <c r="AZ23" s="7">
        <v>149.44623394960999</v>
      </c>
    </row>
    <row r="24" spans="2:52" x14ac:dyDescent="0.2">
      <c r="H24" s="4">
        <v>190</v>
      </c>
      <c r="I24" s="5">
        <v>0.61224489795918302</v>
      </c>
      <c r="K24">
        <v>1800</v>
      </c>
      <c r="L24" s="5">
        <v>0.9</v>
      </c>
      <c r="N24">
        <v>925</v>
      </c>
      <c r="O24" s="7">
        <v>9</v>
      </c>
      <c r="Q24">
        <v>925</v>
      </c>
      <c r="R24" s="7">
        <v>37</v>
      </c>
      <c r="T24">
        <v>925</v>
      </c>
      <c r="U24" s="8">
        <v>0</v>
      </c>
      <c r="W24">
        <v>925</v>
      </c>
      <c r="X24" s="8">
        <v>0</v>
      </c>
      <c r="Z24">
        <v>210</v>
      </c>
      <c r="AA24" s="6">
        <v>0</v>
      </c>
      <c r="AB24" s="6">
        <f t="shared" si="0"/>
        <v>0</v>
      </c>
      <c r="AD24">
        <v>190</v>
      </c>
      <c r="AE24" s="3">
        <v>4</v>
      </c>
      <c r="AG24" s="4">
        <v>2050</v>
      </c>
      <c r="AH24" s="9">
        <v>6.7708330000000004E-3</v>
      </c>
      <c r="AJ24" s="4">
        <v>2050</v>
      </c>
      <c r="AK24" s="9">
        <v>1.38710826210826E-2</v>
      </c>
      <c r="AM24" s="4">
        <v>2050</v>
      </c>
      <c r="AN24" s="9">
        <v>2.4611311019078199E-3</v>
      </c>
      <c r="AP24" s="4">
        <v>2050</v>
      </c>
      <c r="AQ24" s="10">
        <v>0</v>
      </c>
      <c r="AV24" s="4">
        <v>925</v>
      </c>
      <c r="AW24" s="7">
        <v>154.867256637167</v>
      </c>
      <c r="AY24" s="4">
        <v>925</v>
      </c>
      <c r="AZ24" s="7">
        <v>278.82892820897399</v>
      </c>
    </row>
    <row r="25" spans="2:52" x14ac:dyDescent="0.2">
      <c r="H25" s="4">
        <v>200</v>
      </c>
      <c r="I25" s="6">
        <v>0</v>
      </c>
      <c r="K25">
        <v>1900</v>
      </c>
      <c r="L25" s="5">
        <v>0.9</v>
      </c>
      <c r="N25">
        <v>975</v>
      </c>
      <c r="O25" s="8">
        <v>0</v>
      </c>
      <c r="Q25">
        <v>975</v>
      </c>
      <c r="R25" s="7">
        <v>74</v>
      </c>
      <c r="T25">
        <v>975</v>
      </c>
      <c r="U25" s="8">
        <v>0</v>
      </c>
      <c r="W25">
        <v>975</v>
      </c>
      <c r="X25" s="8">
        <v>0</v>
      </c>
      <c r="Z25">
        <v>220</v>
      </c>
      <c r="AA25" s="6">
        <v>0</v>
      </c>
      <c r="AB25" s="6">
        <f t="shared" si="0"/>
        <v>0</v>
      </c>
      <c r="AD25">
        <v>200</v>
      </c>
      <c r="AE25" s="3">
        <v>6</v>
      </c>
      <c r="AG25" s="4">
        <v>2150</v>
      </c>
      <c r="AH25" s="9">
        <v>5.7291670000000003E-3</v>
      </c>
      <c r="AJ25" s="4">
        <v>2150</v>
      </c>
      <c r="AK25" s="9">
        <v>2.63844373219373E-2</v>
      </c>
      <c r="AM25" s="4">
        <v>2150</v>
      </c>
      <c r="AN25" s="9">
        <v>3.7918392287323798E-3</v>
      </c>
      <c r="AP25" s="4">
        <v>2150</v>
      </c>
      <c r="AQ25" s="10">
        <v>1.1969681554583399E-2</v>
      </c>
      <c r="AV25" s="4">
        <v>975</v>
      </c>
      <c r="AW25" s="7">
        <v>154.867256637167</v>
      </c>
      <c r="AY25" s="4">
        <v>975</v>
      </c>
      <c r="AZ25" s="7">
        <v>171.552751180337</v>
      </c>
    </row>
    <row r="26" spans="2:52" x14ac:dyDescent="0.2">
      <c r="H26" s="4">
        <v>210</v>
      </c>
      <c r="I26" s="6">
        <v>0</v>
      </c>
      <c r="K26">
        <v>2000</v>
      </c>
      <c r="L26" s="5">
        <v>0.91999999999999904</v>
      </c>
      <c r="Z26">
        <v>230</v>
      </c>
      <c r="AA26" s="5">
        <v>0.64781632178890503</v>
      </c>
      <c r="AB26" s="5">
        <f t="shared" si="0"/>
        <v>1.2891544803599209</v>
      </c>
      <c r="AD26">
        <v>210</v>
      </c>
      <c r="AE26" s="3">
        <v>2</v>
      </c>
      <c r="AG26" s="4">
        <v>2250</v>
      </c>
      <c r="AH26" s="9">
        <v>8.3333330000000001E-3</v>
      </c>
      <c r="AJ26" s="4">
        <v>2250</v>
      </c>
      <c r="AK26" s="9">
        <v>3.2131410256410198E-2</v>
      </c>
      <c r="AM26" s="4">
        <v>2250</v>
      </c>
      <c r="AN26" s="9">
        <v>3.8393645189761499E-3</v>
      </c>
      <c r="AP26" s="4">
        <v>2250</v>
      </c>
      <c r="AQ26" s="10">
        <v>5.8703835588564401E-3</v>
      </c>
    </row>
    <row r="27" spans="2:52" x14ac:dyDescent="0.2">
      <c r="H27" s="4">
        <v>220</v>
      </c>
      <c r="I27" s="5">
        <v>0.20408163265306101</v>
      </c>
      <c r="K27">
        <v>2100</v>
      </c>
      <c r="L27" s="5">
        <v>0.62000000000000099</v>
      </c>
      <c r="Z27">
        <v>240</v>
      </c>
      <c r="AA27" s="5">
        <v>1.1638304313846899</v>
      </c>
      <c r="AB27" s="5">
        <f t="shared" si="0"/>
        <v>2.3160225584555327</v>
      </c>
      <c r="AD27">
        <v>220</v>
      </c>
      <c r="AE27" s="3">
        <v>2</v>
      </c>
      <c r="AG27" s="4">
        <v>2350</v>
      </c>
      <c r="AH27" s="9">
        <v>5.7291670000000003E-3</v>
      </c>
      <c r="AJ27" s="4">
        <v>2350</v>
      </c>
      <c r="AK27" s="9">
        <v>2.32950498575498E-2</v>
      </c>
      <c r="AM27" s="4">
        <v>2350</v>
      </c>
      <c r="AN27" s="9">
        <v>3.8801004820421801E-3</v>
      </c>
      <c r="AP27" s="4">
        <v>2350</v>
      </c>
      <c r="AQ27" s="10">
        <v>1.1947637942144001E-2</v>
      </c>
    </row>
    <row r="28" spans="2:52" x14ac:dyDescent="0.2">
      <c r="H28" s="4">
        <v>230</v>
      </c>
      <c r="I28" s="5">
        <v>0.20408163265306101</v>
      </c>
      <c r="K28">
        <v>2200</v>
      </c>
      <c r="L28" s="5">
        <v>0.91999999999999904</v>
      </c>
      <c r="Z28">
        <v>250</v>
      </c>
      <c r="AA28" s="6">
        <v>0</v>
      </c>
      <c r="AB28" s="6">
        <f t="shared" si="0"/>
        <v>0</v>
      </c>
      <c r="AD28">
        <v>230</v>
      </c>
      <c r="AE28" s="3">
        <v>4</v>
      </c>
      <c r="AG28" s="4">
        <v>2450</v>
      </c>
      <c r="AH28" s="9">
        <v>2.6041670000000001E-3</v>
      </c>
      <c r="AJ28" s="4">
        <v>2450</v>
      </c>
      <c r="AK28" s="9">
        <v>2.3308404558404501E-2</v>
      </c>
      <c r="AM28" s="4">
        <v>2450</v>
      </c>
      <c r="AN28" s="10">
        <v>0</v>
      </c>
      <c r="AP28" s="4">
        <v>2450</v>
      </c>
      <c r="AQ28" s="10">
        <v>0</v>
      </c>
    </row>
    <row r="29" spans="2:52" x14ac:dyDescent="0.2">
      <c r="H29" s="4">
        <v>240</v>
      </c>
      <c r="I29" s="6">
        <v>0</v>
      </c>
      <c r="K29">
        <v>2300</v>
      </c>
      <c r="L29" s="5">
        <v>0.64</v>
      </c>
      <c r="Z29">
        <v>260</v>
      </c>
      <c r="AA29" s="6">
        <v>0</v>
      </c>
      <c r="AB29" s="6">
        <f t="shared" si="0"/>
        <v>0</v>
      </c>
      <c r="AD29">
        <v>240</v>
      </c>
      <c r="AE29" s="3">
        <v>4</v>
      </c>
      <c r="AG29" s="4">
        <v>2550</v>
      </c>
      <c r="AH29" s="9">
        <v>4.1666669999999998E-3</v>
      </c>
      <c r="AJ29" s="4">
        <v>2550</v>
      </c>
      <c r="AK29" s="9">
        <v>2.6455662393162299E-2</v>
      </c>
      <c r="AM29" s="4">
        <v>2550</v>
      </c>
      <c r="AN29" s="10">
        <v>3.9683617353519704E-3</v>
      </c>
      <c r="AP29" s="4">
        <v>2550</v>
      </c>
      <c r="AQ29" s="10">
        <v>0</v>
      </c>
    </row>
    <row r="30" spans="2:52" x14ac:dyDescent="0.2">
      <c r="H30" s="4">
        <v>250</v>
      </c>
      <c r="I30" s="6">
        <v>0</v>
      </c>
      <c r="Z30">
        <v>270</v>
      </c>
      <c r="AA30" s="6">
        <v>0</v>
      </c>
      <c r="AB30" s="6">
        <f t="shared" si="0"/>
        <v>0</v>
      </c>
      <c r="AD30">
        <v>250</v>
      </c>
      <c r="AE30" s="3">
        <v>3</v>
      </c>
      <c r="AG30" s="4">
        <v>2650</v>
      </c>
      <c r="AH30" s="9">
        <v>1.5625000000000001E-3</v>
      </c>
      <c r="AJ30" s="4">
        <v>2650</v>
      </c>
      <c r="AK30" s="9">
        <v>3.0119301994301999E-2</v>
      </c>
      <c r="AM30" s="4">
        <v>2650</v>
      </c>
      <c r="AN30" s="10">
        <v>2.71912553465952E-3</v>
      </c>
      <c r="AP30" s="4">
        <v>2650</v>
      </c>
      <c r="AQ30" s="10">
        <v>0</v>
      </c>
    </row>
    <row r="31" spans="2:52" x14ac:dyDescent="0.2">
      <c r="H31" s="4">
        <v>260</v>
      </c>
      <c r="I31" s="5">
        <v>0.40816326530612201</v>
      </c>
      <c r="Z31">
        <v>280</v>
      </c>
      <c r="AA31" s="6">
        <v>0</v>
      </c>
      <c r="AB31" s="6">
        <f t="shared" si="0"/>
        <v>0</v>
      </c>
      <c r="AD31">
        <v>260</v>
      </c>
      <c r="AE31" s="3">
        <v>1</v>
      </c>
      <c r="AG31" s="4">
        <v>2750</v>
      </c>
      <c r="AH31" s="9">
        <v>2.6041670000000001E-3</v>
      </c>
      <c r="AJ31" s="4">
        <v>2750</v>
      </c>
      <c r="AK31" s="9">
        <v>1.6590990028489998E-2</v>
      </c>
      <c r="AM31" s="4">
        <v>2750</v>
      </c>
      <c r="AN31" s="10">
        <v>2.75986149772561E-3</v>
      </c>
      <c r="AP31" s="4">
        <v>2750</v>
      </c>
      <c r="AQ31" s="10">
        <v>1.1905246379760599E-2</v>
      </c>
    </row>
    <row r="32" spans="2:52" x14ac:dyDescent="0.2">
      <c r="H32" s="4">
        <v>270</v>
      </c>
      <c r="I32" s="5">
        <v>0.61224489795918302</v>
      </c>
      <c r="Z32">
        <v>290</v>
      </c>
      <c r="AA32" s="6">
        <v>0</v>
      </c>
      <c r="AB32" s="6">
        <f t="shared" si="0"/>
        <v>0</v>
      </c>
      <c r="AD32">
        <v>270</v>
      </c>
      <c r="AE32" s="3">
        <v>4</v>
      </c>
      <c r="AG32" s="4">
        <v>2850</v>
      </c>
      <c r="AH32" s="9">
        <v>1.5625000000000001E-3</v>
      </c>
      <c r="AJ32" s="4">
        <v>2850</v>
      </c>
      <c r="AK32" s="9">
        <v>1.08796296296296E-2</v>
      </c>
      <c r="AM32" s="4">
        <v>2850</v>
      </c>
      <c r="AN32" s="10">
        <v>0</v>
      </c>
      <c r="AP32" s="4">
        <v>2850</v>
      </c>
      <c r="AQ32" s="10">
        <v>1.1895072404788499E-2</v>
      </c>
    </row>
    <row r="33" spans="8:43" x14ac:dyDescent="0.2">
      <c r="H33" s="4">
        <v>280</v>
      </c>
      <c r="I33" s="5">
        <v>0.37414965986394499</v>
      </c>
      <c r="Z33">
        <v>300</v>
      </c>
      <c r="AA33" s="6">
        <v>0</v>
      </c>
      <c r="AB33" s="6">
        <f t="shared" si="0"/>
        <v>0</v>
      </c>
      <c r="AD33">
        <v>280</v>
      </c>
      <c r="AE33" s="3">
        <v>2</v>
      </c>
      <c r="AG33" s="4">
        <v>2950</v>
      </c>
      <c r="AH33" s="10">
        <v>0</v>
      </c>
      <c r="AJ33" s="4">
        <v>2950</v>
      </c>
      <c r="AK33" s="9">
        <v>1.6631054131054101E-2</v>
      </c>
      <c r="AM33" s="4">
        <v>2950</v>
      </c>
      <c r="AN33" s="10">
        <v>0</v>
      </c>
      <c r="AP33" s="4">
        <v>2950</v>
      </c>
      <c r="AQ33" s="10">
        <v>5.7940787465662804E-3</v>
      </c>
    </row>
    <row r="34" spans="8:43" x14ac:dyDescent="0.2">
      <c r="Z34">
        <v>310</v>
      </c>
      <c r="AA34" s="6">
        <v>0</v>
      </c>
      <c r="AB34" s="6">
        <f t="shared" si="0"/>
        <v>0</v>
      </c>
      <c r="AD34">
        <v>290</v>
      </c>
      <c r="AE34" s="2">
        <v>0</v>
      </c>
      <c r="AG34" s="4">
        <v>3050</v>
      </c>
      <c r="AH34" s="10">
        <v>0</v>
      </c>
      <c r="AJ34" s="4">
        <v>3050</v>
      </c>
      <c r="AK34" s="9">
        <v>4.1444088319088296E-3</v>
      </c>
      <c r="AM34" s="4">
        <v>3050</v>
      </c>
      <c r="AN34" s="10">
        <v>0</v>
      </c>
      <c r="AP34" s="4">
        <v>3050</v>
      </c>
      <c r="AQ34" s="10">
        <v>1.79621528131041E-2</v>
      </c>
    </row>
    <row r="35" spans="8:43" x14ac:dyDescent="0.2">
      <c r="Z35">
        <v>320</v>
      </c>
      <c r="AA35" s="6">
        <v>0</v>
      </c>
      <c r="AB35" s="6">
        <f t="shared" si="0"/>
        <v>0</v>
      </c>
      <c r="AD35">
        <v>300</v>
      </c>
      <c r="AE35" s="3">
        <v>2</v>
      </c>
      <c r="AG35" s="4">
        <v>3150</v>
      </c>
      <c r="AH35" s="10">
        <v>0</v>
      </c>
      <c r="AJ35" s="4">
        <v>3150</v>
      </c>
      <c r="AK35" s="9">
        <v>1.0412215099715001E-2</v>
      </c>
      <c r="AM35" s="4">
        <v>3150</v>
      </c>
      <c r="AN35" s="10">
        <v>0</v>
      </c>
      <c r="AP35" s="4">
        <v>3150</v>
      </c>
      <c r="AQ35" s="10">
        <v>1.18628548173772E-2</v>
      </c>
    </row>
    <row r="36" spans="8:43" x14ac:dyDescent="0.2">
      <c r="Z36">
        <v>330</v>
      </c>
      <c r="AA36" s="6">
        <v>0</v>
      </c>
      <c r="AB36" s="6">
        <f t="shared" si="0"/>
        <v>0</v>
      </c>
      <c r="AD36">
        <v>310</v>
      </c>
      <c r="AE36" s="3">
        <v>3</v>
      </c>
      <c r="AG36" s="4">
        <v>3250</v>
      </c>
      <c r="AH36" s="10">
        <v>0</v>
      </c>
      <c r="AJ36" s="4">
        <v>3250</v>
      </c>
      <c r="AK36" s="9">
        <v>7.3050213675213598E-3</v>
      </c>
      <c r="AM36" s="4">
        <v>3250</v>
      </c>
      <c r="AN36" s="10">
        <v>0</v>
      </c>
      <c r="AP36" s="4">
        <v>3250</v>
      </c>
      <c r="AQ36" s="10">
        <v>1.7940109200664699E-2</v>
      </c>
    </row>
    <row r="37" spans="8:43" x14ac:dyDescent="0.2">
      <c r="Z37">
        <v>340</v>
      </c>
      <c r="AA37" s="6">
        <v>0.71935000105610603</v>
      </c>
      <c r="AB37" s="6">
        <f t="shared" si="0"/>
        <v>1.4315065021016509</v>
      </c>
      <c r="AD37">
        <v>320</v>
      </c>
      <c r="AE37" s="2">
        <v>0</v>
      </c>
      <c r="AG37" s="4">
        <v>3350</v>
      </c>
      <c r="AH37" s="10">
        <v>0</v>
      </c>
      <c r="AJ37" s="4">
        <v>3350</v>
      </c>
      <c r="AK37" s="10">
        <v>0</v>
      </c>
      <c r="AM37" s="4">
        <v>3350</v>
      </c>
      <c r="AN37" s="10">
        <v>2.6953628895376399E-3</v>
      </c>
      <c r="AP37" s="4">
        <v>3350</v>
      </c>
      <c r="AQ37" s="10">
        <v>0</v>
      </c>
    </row>
    <row r="38" spans="8:43" x14ac:dyDescent="0.2">
      <c r="Z38">
        <v>350</v>
      </c>
      <c r="AA38" s="6">
        <v>0</v>
      </c>
      <c r="AB38" s="6">
        <f t="shared" si="0"/>
        <v>0</v>
      </c>
      <c r="AD38">
        <v>330</v>
      </c>
      <c r="AE38" s="3">
        <v>1</v>
      </c>
      <c r="AG38" s="4">
        <v>3450</v>
      </c>
      <c r="AH38" s="10">
        <v>0</v>
      </c>
      <c r="AJ38" s="4">
        <v>3450</v>
      </c>
      <c r="AK38" s="10">
        <v>1.6715633903133801E-2</v>
      </c>
      <c r="AM38" s="4">
        <v>3450</v>
      </c>
      <c r="AN38" s="10">
        <v>0</v>
      </c>
      <c r="AP38" s="4">
        <v>3450</v>
      </c>
      <c r="AQ38" s="10">
        <v>5.7398175467155404E-3</v>
      </c>
    </row>
    <row r="39" spans="8:43" x14ac:dyDescent="0.2">
      <c r="AD39">
        <v>340</v>
      </c>
      <c r="AE39" s="3">
        <v>1</v>
      </c>
      <c r="AG39" s="4">
        <v>3550</v>
      </c>
      <c r="AH39" s="10">
        <v>0</v>
      </c>
      <c r="AJ39" s="4">
        <v>3550</v>
      </c>
      <c r="AK39" s="10">
        <v>1.98584401709401E-2</v>
      </c>
      <c r="AM39" s="4">
        <v>3550</v>
      </c>
      <c r="AN39" s="10">
        <v>0</v>
      </c>
      <c r="AP39" s="4">
        <v>3550</v>
      </c>
      <c r="AQ39" s="10">
        <v>0</v>
      </c>
    </row>
    <row r="40" spans="8:43" x14ac:dyDescent="0.2">
      <c r="AD40">
        <v>350</v>
      </c>
      <c r="AE40" s="3">
        <v>2</v>
      </c>
      <c r="AG40" s="4">
        <v>3650</v>
      </c>
      <c r="AH40" s="10">
        <v>0</v>
      </c>
      <c r="AJ40" s="4">
        <v>3650</v>
      </c>
      <c r="AK40" s="10">
        <v>1.6746794871794798E-2</v>
      </c>
      <c r="AM40" s="4">
        <v>3650</v>
      </c>
      <c r="AN40" s="10">
        <v>2.81757077873578E-3</v>
      </c>
      <c r="AP40" s="4">
        <v>3650</v>
      </c>
      <c r="AQ40" s="10">
        <v>1.1808593617526401E-2</v>
      </c>
    </row>
    <row r="41" spans="8:43" x14ac:dyDescent="0.2">
      <c r="AD41">
        <v>360</v>
      </c>
      <c r="AE41" s="3">
        <v>1</v>
      </c>
      <c r="AG41" s="4">
        <v>3750</v>
      </c>
      <c r="AH41" s="10">
        <v>0</v>
      </c>
      <c r="AJ41" s="4">
        <v>3750</v>
      </c>
      <c r="AK41" s="10">
        <v>3.74821937321936E-3</v>
      </c>
      <c r="AM41" s="4">
        <v>3750</v>
      </c>
      <c r="AN41" s="10">
        <v>0</v>
      </c>
      <c r="AP41" s="4">
        <v>3750</v>
      </c>
      <c r="AQ41" s="10">
        <v>5.7092956217994397E-3</v>
      </c>
    </row>
    <row r="42" spans="8:43" x14ac:dyDescent="0.2">
      <c r="AD42">
        <v>370</v>
      </c>
      <c r="AE42" s="3">
        <v>2</v>
      </c>
      <c r="AG42" s="4">
        <v>3850</v>
      </c>
      <c r="AH42" s="10">
        <v>0</v>
      </c>
      <c r="AJ42" s="4">
        <v>3850</v>
      </c>
      <c r="AK42" s="10">
        <v>7.4029558404558396E-3</v>
      </c>
      <c r="AM42" s="4">
        <v>3850</v>
      </c>
      <c r="AN42" s="10">
        <v>2.9126213592232599E-3</v>
      </c>
      <c r="AP42" s="4">
        <v>3850</v>
      </c>
      <c r="AQ42" s="10">
        <v>1.7875674025841899E-2</v>
      </c>
    </row>
    <row r="43" spans="8:43" x14ac:dyDescent="0.2">
      <c r="AD43">
        <v>380</v>
      </c>
      <c r="AE43" s="2">
        <v>0</v>
      </c>
      <c r="AG43" s="4">
        <v>3950</v>
      </c>
      <c r="AH43" s="10">
        <v>0</v>
      </c>
      <c r="AJ43" s="4">
        <v>3950</v>
      </c>
      <c r="AK43" s="10">
        <v>7.4252136752136697E-3</v>
      </c>
      <c r="AM43" s="4">
        <v>3950</v>
      </c>
      <c r="AN43" s="10">
        <v>0</v>
      </c>
      <c r="AP43" s="4">
        <v>3950</v>
      </c>
      <c r="AQ43" s="10">
        <v>5.6872520093600998E-3</v>
      </c>
    </row>
    <row r="44" spans="8:43" x14ac:dyDescent="0.2">
      <c r="AD44">
        <v>390</v>
      </c>
      <c r="AE44" s="3">
        <v>1</v>
      </c>
    </row>
    <row r="45" spans="8:43" x14ac:dyDescent="0.2">
      <c r="AD45">
        <v>400</v>
      </c>
      <c r="AE45" s="2">
        <v>0</v>
      </c>
    </row>
    <row r="46" spans="8:43" x14ac:dyDescent="0.2">
      <c r="AD46">
        <v>410</v>
      </c>
      <c r="AE46" s="2">
        <v>0</v>
      </c>
    </row>
    <row r="47" spans="8:43" x14ac:dyDescent="0.2">
      <c r="AD47">
        <v>420</v>
      </c>
      <c r="AE47" s="2">
        <v>0</v>
      </c>
    </row>
    <row r="48" spans="8:43" x14ac:dyDescent="0.2">
      <c r="AD48">
        <v>430</v>
      </c>
      <c r="AE48" s="2">
        <v>2</v>
      </c>
    </row>
    <row r="49" spans="30:31" x14ac:dyDescent="0.2">
      <c r="AD49">
        <v>440</v>
      </c>
      <c r="AE49" s="2">
        <v>0</v>
      </c>
    </row>
    <row r="50" spans="30:31" x14ac:dyDescent="0.2">
      <c r="AD50">
        <v>450</v>
      </c>
      <c r="AE50" s="2">
        <v>2</v>
      </c>
    </row>
    <row r="51" spans="30:31" x14ac:dyDescent="0.2">
      <c r="AD51">
        <v>460</v>
      </c>
      <c r="AE51" s="2">
        <v>0</v>
      </c>
    </row>
    <row r="52" spans="30:31" x14ac:dyDescent="0.2">
      <c r="AD52">
        <v>470</v>
      </c>
      <c r="AE52" s="2">
        <v>0</v>
      </c>
    </row>
    <row r="53" spans="30:31" x14ac:dyDescent="0.2">
      <c r="AD53">
        <v>480</v>
      </c>
      <c r="AE53" s="2">
        <v>0</v>
      </c>
    </row>
    <row r="54" spans="30:31" x14ac:dyDescent="0.2">
      <c r="AD54">
        <v>490</v>
      </c>
      <c r="AE54" s="2">
        <v>1</v>
      </c>
    </row>
    <row r="55" spans="30:31" x14ac:dyDescent="0.2">
      <c r="AD55">
        <v>500</v>
      </c>
      <c r="AE55" s="2">
        <v>0</v>
      </c>
    </row>
    <row r="56" spans="30:31" x14ac:dyDescent="0.2">
      <c r="AD56">
        <v>510</v>
      </c>
      <c r="AE56" s="2">
        <v>0</v>
      </c>
    </row>
    <row r="57" spans="30:31" x14ac:dyDescent="0.2">
      <c r="AD57">
        <v>520</v>
      </c>
      <c r="AE57" s="2">
        <v>0</v>
      </c>
    </row>
    <row r="58" spans="30:31" x14ac:dyDescent="0.2">
      <c r="AD58">
        <v>530</v>
      </c>
      <c r="AE58" s="2">
        <v>1</v>
      </c>
    </row>
    <row r="59" spans="30:31" x14ac:dyDescent="0.2">
      <c r="AD59">
        <v>540</v>
      </c>
      <c r="AE59" s="2">
        <v>0</v>
      </c>
    </row>
    <row r="60" spans="30:31" x14ac:dyDescent="0.2">
      <c r="AD60">
        <v>550</v>
      </c>
      <c r="AE60" s="2">
        <v>0</v>
      </c>
    </row>
    <row r="61" spans="30:31" x14ac:dyDescent="0.2">
      <c r="AD61">
        <v>560</v>
      </c>
      <c r="AE61" s="2">
        <v>0</v>
      </c>
    </row>
    <row r="62" spans="30:31" x14ac:dyDescent="0.2">
      <c r="AD62">
        <v>570</v>
      </c>
      <c r="AE62" s="2">
        <v>0</v>
      </c>
    </row>
    <row r="63" spans="30:31" x14ac:dyDescent="0.2">
      <c r="AD63">
        <v>580</v>
      </c>
      <c r="AE63" s="2">
        <v>0</v>
      </c>
    </row>
    <row r="64" spans="30:31" x14ac:dyDescent="0.2">
      <c r="AD64">
        <v>590</v>
      </c>
      <c r="AE64" s="2">
        <v>0</v>
      </c>
    </row>
    <row r="65" spans="30:31" x14ac:dyDescent="0.2">
      <c r="AD65">
        <v>600</v>
      </c>
      <c r="AE65" s="2">
        <v>0</v>
      </c>
    </row>
    <row r="66" spans="30:31" x14ac:dyDescent="0.2">
      <c r="AD66">
        <v>610</v>
      </c>
      <c r="AE66" s="2">
        <v>1</v>
      </c>
    </row>
    <row r="67" spans="30:31" x14ac:dyDescent="0.2">
      <c r="AD67">
        <v>620</v>
      </c>
      <c r="AE67" s="2">
        <v>0</v>
      </c>
    </row>
    <row r="68" spans="30:31" x14ac:dyDescent="0.2">
      <c r="AD68">
        <v>630</v>
      </c>
      <c r="AE68" s="2">
        <v>0</v>
      </c>
    </row>
    <row r="69" spans="30:31" x14ac:dyDescent="0.2">
      <c r="AD69">
        <v>640</v>
      </c>
      <c r="AE69" s="2">
        <v>0</v>
      </c>
    </row>
    <row r="70" spans="30:31" x14ac:dyDescent="0.2">
      <c r="AD70">
        <v>650</v>
      </c>
      <c r="AE70" s="2">
        <v>0</v>
      </c>
    </row>
    <row r="71" spans="30:31" x14ac:dyDescent="0.2">
      <c r="AD71">
        <v>660</v>
      </c>
      <c r="AE71" s="2">
        <v>0</v>
      </c>
    </row>
    <row r="72" spans="30:31" x14ac:dyDescent="0.2">
      <c r="AD72">
        <v>670</v>
      </c>
      <c r="AE72" s="2">
        <v>1</v>
      </c>
    </row>
    <row r="73" spans="30:31" x14ac:dyDescent="0.2">
      <c r="AD73">
        <v>680</v>
      </c>
      <c r="AE73" s="2">
        <v>0</v>
      </c>
    </row>
    <row r="74" spans="30:31" x14ac:dyDescent="0.2">
      <c r="AD74">
        <v>690</v>
      </c>
      <c r="AE74" s="2">
        <v>0</v>
      </c>
    </row>
    <row r="75" spans="30:31" x14ac:dyDescent="0.2">
      <c r="AD75">
        <v>700</v>
      </c>
      <c r="AE75" s="2">
        <v>0</v>
      </c>
    </row>
    <row r="76" spans="30:31" x14ac:dyDescent="0.2">
      <c r="AD76">
        <v>710</v>
      </c>
      <c r="AE76" s="2">
        <v>1</v>
      </c>
    </row>
    <row r="77" spans="30:31" x14ac:dyDescent="0.2">
      <c r="AD77">
        <v>720</v>
      </c>
      <c r="AE77" s="2">
        <v>0</v>
      </c>
    </row>
    <row r="78" spans="30:31" x14ac:dyDescent="0.2">
      <c r="AD78">
        <v>730</v>
      </c>
      <c r="AE78" s="2">
        <v>0</v>
      </c>
    </row>
    <row r="79" spans="30:31" x14ac:dyDescent="0.2">
      <c r="AD79">
        <v>740</v>
      </c>
      <c r="AE79" s="2">
        <v>0</v>
      </c>
    </row>
    <row r="80" spans="30:31" x14ac:dyDescent="0.2">
      <c r="AD80">
        <v>750</v>
      </c>
      <c r="AE80" s="2">
        <v>0</v>
      </c>
    </row>
    <row r="81" spans="30:31" x14ac:dyDescent="0.2">
      <c r="AD81">
        <v>760</v>
      </c>
      <c r="AE81" s="2">
        <v>0</v>
      </c>
    </row>
    <row r="82" spans="30:31" x14ac:dyDescent="0.2">
      <c r="AD82">
        <v>770</v>
      </c>
      <c r="AE82" s="2">
        <v>0</v>
      </c>
    </row>
    <row r="83" spans="30:31" x14ac:dyDescent="0.2">
      <c r="AD83">
        <v>780</v>
      </c>
      <c r="AE83" s="2">
        <v>1</v>
      </c>
    </row>
    <row r="84" spans="30:31" x14ac:dyDescent="0.2">
      <c r="AD84">
        <v>790</v>
      </c>
      <c r="AE84" s="2">
        <v>0</v>
      </c>
    </row>
    <row r="85" spans="30:31" x14ac:dyDescent="0.2">
      <c r="AD85">
        <v>800</v>
      </c>
      <c r="AE85" s="2">
        <v>0</v>
      </c>
    </row>
    <row r="86" spans="30:31" x14ac:dyDescent="0.2">
      <c r="AD86">
        <v>810</v>
      </c>
      <c r="AE86" s="2">
        <v>1</v>
      </c>
    </row>
    <row r="87" spans="30:31" x14ac:dyDescent="0.2">
      <c r="AD87">
        <v>820</v>
      </c>
      <c r="AE87" s="2">
        <v>0</v>
      </c>
    </row>
    <row r="88" spans="30:31" x14ac:dyDescent="0.2">
      <c r="AD88">
        <v>830</v>
      </c>
      <c r="AE88" s="2">
        <v>0</v>
      </c>
    </row>
    <row r="89" spans="30:31" x14ac:dyDescent="0.2">
      <c r="AD89">
        <v>840</v>
      </c>
      <c r="AE89" s="2">
        <v>1</v>
      </c>
    </row>
    <row r="90" spans="30:31" x14ac:dyDescent="0.2">
      <c r="AD90">
        <v>850</v>
      </c>
      <c r="AE90" s="2">
        <v>0</v>
      </c>
    </row>
    <row r="91" spans="30:31" x14ac:dyDescent="0.2">
      <c r="AD91">
        <v>860</v>
      </c>
      <c r="AE91" s="2">
        <v>0</v>
      </c>
    </row>
    <row r="92" spans="30:31" x14ac:dyDescent="0.2">
      <c r="AD92">
        <v>870</v>
      </c>
      <c r="AE92" s="2">
        <v>0</v>
      </c>
    </row>
    <row r="93" spans="30:31" x14ac:dyDescent="0.2">
      <c r="AD93">
        <v>880</v>
      </c>
      <c r="AE93" s="2">
        <v>0</v>
      </c>
    </row>
    <row r="94" spans="30:31" x14ac:dyDescent="0.2">
      <c r="AD94">
        <v>890</v>
      </c>
      <c r="AE94" s="2">
        <v>2</v>
      </c>
    </row>
    <row r="95" spans="30:31" x14ac:dyDescent="0.2">
      <c r="AD95">
        <v>900</v>
      </c>
      <c r="AE95" s="2">
        <v>1</v>
      </c>
    </row>
    <row r="96" spans="30:31" x14ac:dyDescent="0.2">
      <c r="AD96">
        <v>910</v>
      </c>
      <c r="AE96" s="2">
        <v>0</v>
      </c>
    </row>
    <row r="97" spans="30:31" x14ac:dyDescent="0.2">
      <c r="AD97">
        <v>920</v>
      </c>
      <c r="AE97" s="2">
        <v>1</v>
      </c>
    </row>
    <row r="98" spans="30:31" x14ac:dyDescent="0.2">
      <c r="AD98">
        <v>930</v>
      </c>
      <c r="AE98" s="2">
        <v>0</v>
      </c>
    </row>
    <row r="99" spans="30:31" x14ac:dyDescent="0.2">
      <c r="AD99">
        <v>940</v>
      </c>
      <c r="AE99" s="2">
        <v>0</v>
      </c>
    </row>
    <row r="100" spans="30:31" x14ac:dyDescent="0.2">
      <c r="AD100">
        <v>950</v>
      </c>
      <c r="AE100" s="2">
        <v>0</v>
      </c>
    </row>
    <row r="101" spans="30:31" x14ac:dyDescent="0.2">
      <c r="AD101">
        <v>960</v>
      </c>
      <c r="AE101" s="2">
        <v>2</v>
      </c>
    </row>
    <row r="102" spans="30:31" x14ac:dyDescent="0.2">
      <c r="AD102">
        <v>970</v>
      </c>
      <c r="AE102" s="2">
        <v>0</v>
      </c>
    </row>
    <row r="103" spans="30:31" x14ac:dyDescent="0.2">
      <c r="AD103">
        <v>980</v>
      </c>
      <c r="AE103" s="2">
        <v>0</v>
      </c>
    </row>
    <row r="104" spans="30:31" x14ac:dyDescent="0.2">
      <c r="AD104">
        <v>990</v>
      </c>
      <c r="AE104" s="2">
        <v>0</v>
      </c>
    </row>
    <row r="105" spans="30:31" x14ac:dyDescent="0.2">
      <c r="AD105">
        <v>1000</v>
      </c>
      <c r="AE105" s="2">
        <v>0</v>
      </c>
    </row>
    <row r="106" spans="30:31" x14ac:dyDescent="0.2">
      <c r="AD106">
        <v>1010</v>
      </c>
      <c r="AE106" s="2">
        <v>0</v>
      </c>
    </row>
    <row r="107" spans="30:31" x14ac:dyDescent="0.2">
      <c r="AD107">
        <v>1020</v>
      </c>
      <c r="AE107" s="2">
        <v>1</v>
      </c>
    </row>
    <row r="108" spans="30:31" x14ac:dyDescent="0.2">
      <c r="AD108">
        <v>1030</v>
      </c>
      <c r="AE108" s="2">
        <v>0</v>
      </c>
    </row>
    <row r="109" spans="30:31" x14ac:dyDescent="0.2">
      <c r="AD109">
        <v>1040</v>
      </c>
      <c r="AE109" s="2">
        <v>0</v>
      </c>
    </row>
    <row r="110" spans="30:31" x14ac:dyDescent="0.2">
      <c r="AD110">
        <v>1050</v>
      </c>
      <c r="AE110" s="2">
        <v>1</v>
      </c>
    </row>
    <row r="111" spans="30:31" x14ac:dyDescent="0.2">
      <c r="AD111">
        <v>1060</v>
      </c>
      <c r="AE111" s="2">
        <v>0</v>
      </c>
    </row>
    <row r="112" spans="30:31" x14ac:dyDescent="0.2">
      <c r="AD112">
        <v>1070</v>
      </c>
      <c r="AE112" s="2">
        <v>1</v>
      </c>
    </row>
    <row r="113" spans="30:31" x14ac:dyDescent="0.2">
      <c r="AD113">
        <v>1080</v>
      </c>
      <c r="AE113" s="2">
        <v>0</v>
      </c>
    </row>
    <row r="114" spans="30:31" x14ac:dyDescent="0.2">
      <c r="AD114">
        <v>1090</v>
      </c>
      <c r="AE114" s="2">
        <v>0</v>
      </c>
    </row>
    <row r="115" spans="30:31" x14ac:dyDescent="0.2">
      <c r="AD115">
        <v>1100</v>
      </c>
      <c r="AE115" s="2">
        <v>0</v>
      </c>
    </row>
    <row r="116" spans="30:31" x14ac:dyDescent="0.2">
      <c r="AD116">
        <v>1110</v>
      </c>
      <c r="AE116" s="2">
        <v>0</v>
      </c>
    </row>
    <row r="117" spans="30:31" x14ac:dyDescent="0.2">
      <c r="AD117">
        <v>1120</v>
      </c>
      <c r="AE117" s="2">
        <v>0</v>
      </c>
    </row>
    <row r="118" spans="30:31" x14ac:dyDescent="0.2">
      <c r="AD118">
        <v>1130</v>
      </c>
      <c r="AE118" s="2">
        <v>0</v>
      </c>
    </row>
    <row r="119" spans="30:31" x14ac:dyDescent="0.2">
      <c r="AD119">
        <v>1140</v>
      </c>
      <c r="AE119" s="2">
        <v>0</v>
      </c>
    </row>
    <row r="120" spans="30:31" x14ac:dyDescent="0.2">
      <c r="AD120">
        <v>1150</v>
      </c>
      <c r="AE120" s="2">
        <v>1</v>
      </c>
    </row>
    <row r="121" spans="30:31" x14ac:dyDescent="0.2">
      <c r="AD121">
        <v>1160</v>
      </c>
      <c r="AE121" s="2">
        <v>2</v>
      </c>
    </row>
    <row r="122" spans="30:31" x14ac:dyDescent="0.2">
      <c r="AD122">
        <v>1170</v>
      </c>
      <c r="AE122" s="2">
        <v>0</v>
      </c>
    </row>
    <row r="123" spans="30:31" x14ac:dyDescent="0.2">
      <c r="AD123">
        <v>1180</v>
      </c>
      <c r="AE123" s="2">
        <v>0</v>
      </c>
    </row>
    <row r="124" spans="30:31" x14ac:dyDescent="0.2">
      <c r="AD124">
        <v>1190</v>
      </c>
      <c r="AE124" s="2">
        <v>0</v>
      </c>
    </row>
    <row r="125" spans="30:31" x14ac:dyDescent="0.2">
      <c r="AD125">
        <v>1200</v>
      </c>
      <c r="AE125" s="2">
        <v>0</v>
      </c>
    </row>
    <row r="126" spans="30:31" x14ac:dyDescent="0.2">
      <c r="AD126">
        <v>1210</v>
      </c>
      <c r="AE126" s="2">
        <v>0</v>
      </c>
    </row>
    <row r="127" spans="30:31" x14ac:dyDescent="0.2">
      <c r="AD127">
        <v>1220</v>
      </c>
      <c r="AE127" s="2">
        <v>1</v>
      </c>
    </row>
    <row r="128" spans="30:31" x14ac:dyDescent="0.2">
      <c r="AD128">
        <v>1230</v>
      </c>
      <c r="AE128" s="2">
        <v>0</v>
      </c>
    </row>
    <row r="129" spans="30:31" x14ac:dyDescent="0.2">
      <c r="AD129">
        <v>1240</v>
      </c>
      <c r="AE129" s="2">
        <v>0</v>
      </c>
    </row>
    <row r="130" spans="30:31" x14ac:dyDescent="0.2">
      <c r="AD130">
        <v>1250</v>
      </c>
      <c r="AE130" s="2">
        <v>1</v>
      </c>
    </row>
    <row r="131" spans="30:31" x14ac:dyDescent="0.2">
      <c r="AD131">
        <v>1260</v>
      </c>
      <c r="AE131" s="2">
        <v>0</v>
      </c>
    </row>
    <row r="132" spans="30:31" x14ac:dyDescent="0.2">
      <c r="AD132">
        <v>1270</v>
      </c>
      <c r="AE132" s="2">
        <v>0</v>
      </c>
    </row>
    <row r="133" spans="30:31" x14ac:dyDescent="0.2">
      <c r="AD133">
        <v>1280</v>
      </c>
      <c r="AE133" s="2">
        <v>0</v>
      </c>
    </row>
    <row r="134" spans="30:31" x14ac:dyDescent="0.2">
      <c r="AD134">
        <v>1290</v>
      </c>
      <c r="AE134" s="2">
        <v>1</v>
      </c>
    </row>
    <row r="135" spans="30:31" x14ac:dyDescent="0.2">
      <c r="AD135">
        <v>1300</v>
      </c>
      <c r="AE135" s="2">
        <v>0</v>
      </c>
    </row>
    <row r="136" spans="30:31" x14ac:dyDescent="0.2">
      <c r="AD136">
        <v>1310</v>
      </c>
      <c r="AE136" s="2">
        <v>0</v>
      </c>
    </row>
    <row r="137" spans="30:31" x14ac:dyDescent="0.2">
      <c r="AD137">
        <v>1320</v>
      </c>
      <c r="AE137" s="2">
        <v>1</v>
      </c>
    </row>
    <row r="138" spans="30:31" x14ac:dyDescent="0.2">
      <c r="AD138">
        <v>1330</v>
      </c>
      <c r="AE138" s="2">
        <v>0</v>
      </c>
    </row>
    <row r="139" spans="30:31" x14ac:dyDescent="0.2">
      <c r="AD139">
        <v>1340</v>
      </c>
      <c r="AE139" s="2">
        <v>1</v>
      </c>
    </row>
    <row r="140" spans="30:31" x14ac:dyDescent="0.2">
      <c r="AD140">
        <v>1350</v>
      </c>
      <c r="AE140" s="2">
        <v>0</v>
      </c>
    </row>
    <row r="141" spans="30:31" x14ac:dyDescent="0.2">
      <c r="AD141">
        <v>1360</v>
      </c>
      <c r="AE141" s="2">
        <v>1</v>
      </c>
    </row>
    <row r="142" spans="30:31" x14ac:dyDescent="0.2">
      <c r="AD142">
        <v>1370</v>
      </c>
      <c r="AE142" s="2">
        <v>0</v>
      </c>
    </row>
    <row r="143" spans="30:31" x14ac:dyDescent="0.2">
      <c r="AD143">
        <v>1380</v>
      </c>
      <c r="AE143" s="2">
        <v>0</v>
      </c>
    </row>
    <row r="144" spans="30:31" x14ac:dyDescent="0.2">
      <c r="AD144">
        <v>1390</v>
      </c>
      <c r="AE144" s="2">
        <v>0</v>
      </c>
    </row>
    <row r="145" spans="30:31" x14ac:dyDescent="0.2">
      <c r="AD145">
        <v>1400</v>
      </c>
      <c r="AE145" s="2">
        <v>0</v>
      </c>
    </row>
    <row r="146" spans="30:31" x14ac:dyDescent="0.2">
      <c r="AD146">
        <v>1410</v>
      </c>
      <c r="AE146" s="2">
        <v>1</v>
      </c>
    </row>
    <row r="147" spans="30:31" x14ac:dyDescent="0.2">
      <c r="AD147">
        <v>1420</v>
      </c>
      <c r="AE147" s="2">
        <v>0</v>
      </c>
    </row>
    <row r="148" spans="30:31" x14ac:dyDescent="0.2">
      <c r="AD148">
        <v>1430</v>
      </c>
      <c r="AE148" s="2">
        <v>0</v>
      </c>
    </row>
    <row r="149" spans="30:31" x14ac:dyDescent="0.2">
      <c r="AD149">
        <v>1440</v>
      </c>
      <c r="AE149" s="2">
        <v>0</v>
      </c>
    </row>
    <row r="150" spans="30:31" x14ac:dyDescent="0.2">
      <c r="AD150">
        <v>1450</v>
      </c>
      <c r="AE150" s="2">
        <v>0</v>
      </c>
    </row>
    <row r="151" spans="30:31" x14ac:dyDescent="0.2">
      <c r="AD151">
        <v>1460</v>
      </c>
      <c r="AE151" s="2">
        <v>0</v>
      </c>
    </row>
    <row r="152" spans="30:31" x14ac:dyDescent="0.2">
      <c r="AD152">
        <v>1470</v>
      </c>
      <c r="AE152" s="2">
        <v>1</v>
      </c>
    </row>
    <row r="153" spans="30:31" x14ac:dyDescent="0.2">
      <c r="AD153">
        <v>1480</v>
      </c>
      <c r="AE153" s="2">
        <v>0</v>
      </c>
    </row>
    <row r="154" spans="30:31" x14ac:dyDescent="0.2">
      <c r="AD154">
        <v>1490</v>
      </c>
      <c r="AE154" s="2">
        <v>0</v>
      </c>
    </row>
    <row r="155" spans="30:31" x14ac:dyDescent="0.2">
      <c r="AD155">
        <v>1500</v>
      </c>
      <c r="AE155" s="2">
        <v>0</v>
      </c>
    </row>
    <row r="156" spans="30:31" x14ac:dyDescent="0.2">
      <c r="AD156">
        <v>1510</v>
      </c>
      <c r="AE156" s="2">
        <v>0</v>
      </c>
    </row>
    <row r="157" spans="30:31" x14ac:dyDescent="0.2">
      <c r="AD157">
        <v>1520</v>
      </c>
      <c r="AE157" s="2">
        <v>0</v>
      </c>
    </row>
    <row r="158" spans="30:31" x14ac:dyDescent="0.2">
      <c r="AD158">
        <v>1530</v>
      </c>
      <c r="AE158" s="2">
        <v>0</v>
      </c>
    </row>
    <row r="159" spans="30:31" x14ac:dyDescent="0.2">
      <c r="AD159">
        <v>1540</v>
      </c>
      <c r="AE159" s="2">
        <v>2</v>
      </c>
    </row>
    <row r="160" spans="30:31" x14ac:dyDescent="0.2">
      <c r="AD160">
        <v>1550</v>
      </c>
      <c r="AE160" s="2">
        <v>0</v>
      </c>
    </row>
    <row r="161" spans="30:31" x14ac:dyDescent="0.2">
      <c r="AD161">
        <v>1560</v>
      </c>
      <c r="AE161" s="2">
        <v>0</v>
      </c>
    </row>
    <row r="162" spans="30:31" x14ac:dyDescent="0.2">
      <c r="AD162">
        <v>1570</v>
      </c>
      <c r="AE162" s="2">
        <v>0</v>
      </c>
    </row>
    <row r="163" spans="30:31" x14ac:dyDescent="0.2">
      <c r="AD163">
        <v>1580</v>
      </c>
      <c r="AE163" s="2">
        <v>1</v>
      </c>
    </row>
    <row r="164" spans="30:31" x14ac:dyDescent="0.2">
      <c r="AD164">
        <v>1590</v>
      </c>
      <c r="AE164" s="2">
        <v>0</v>
      </c>
    </row>
    <row r="165" spans="30:31" x14ac:dyDescent="0.2">
      <c r="AD165">
        <v>1600</v>
      </c>
      <c r="AE165" s="2">
        <v>0</v>
      </c>
    </row>
    <row r="166" spans="30:31" x14ac:dyDescent="0.2">
      <c r="AD166">
        <v>1610</v>
      </c>
      <c r="AE166" s="2">
        <v>0</v>
      </c>
    </row>
    <row r="167" spans="30:31" x14ac:dyDescent="0.2">
      <c r="AD167">
        <v>1620</v>
      </c>
      <c r="AE167" s="2">
        <v>0</v>
      </c>
    </row>
    <row r="168" spans="30:31" x14ac:dyDescent="0.2">
      <c r="AD168">
        <v>1630</v>
      </c>
      <c r="AE168" s="2">
        <v>0</v>
      </c>
    </row>
    <row r="169" spans="30:31" x14ac:dyDescent="0.2">
      <c r="AD169">
        <v>1640</v>
      </c>
      <c r="AE169" s="2">
        <v>1</v>
      </c>
    </row>
    <row r="170" spans="30:31" x14ac:dyDescent="0.2">
      <c r="AD170">
        <v>1650</v>
      </c>
      <c r="AE170" s="2">
        <v>2</v>
      </c>
    </row>
    <row r="171" spans="30:31" x14ac:dyDescent="0.2">
      <c r="AD171">
        <v>1660</v>
      </c>
      <c r="AE171" s="2">
        <v>0</v>
      </c>
    </row>
    <row r="172" spans="30:31" x14ac:dyDescent="0.2">
      <c r="AD172">
        <v>1670</v>
      </c>
      <c r="AE172" s="2">
        <v>0</v>
      </c>
    </row>
    <row r="173" spans="30:31" x14ac:dyDescent="0.2">
      <c r="AD173">
        <v>1680</v>
      </c>
      <c r="AE173" s="2">
        <v>0</v>
      </c>
    </row>
    <row r="174" spans="30:31" x14ac:dyDescent="0.2">
      <c r="AD174">
        <v>1690</v>
      </c>
      <c r="AE174" s="2">
        <v>0</v>
      </c>
    </row>
    <row r="175" spans="30:31" x14ac:dyDescent="0.2">
      <c r="AD175">
        <v>1700</v>
      </c>
      <c r="AE175" s="2">
        <v>1</v>
      </c>
    </row>
    <row r="176" spans="30:31" x14ac:dyDescent="0.2">
      <c r="AD176">
        <v>1710</v>
      </c>
      <c r="AE176" s="2">
        <v>0</v>
      </c>
    </row>
    <row r="177" spans="30:31" x14ac:dyDescent="0.2">
      <c r="AD177">
        <v>1720</v>
      </c>
      <c r="AE177" s="2">
        <v>0</v>
      </c>
    </row>
    <row r="178" spans="30:31" x14ac:dyDescent="0.2">
      <c r="AD178">
        <v>1730</v>
      </c>
      <c r="AE178" s="2">
        <v>0</v>
      </c>
    </row>
    <row r="179" spans="30:31" x14ac:dyDescent="0.2">
      <c r="AD179">
        <v>1740</v>
      </c>
      <c r="AE179" s="2">
        <v>1</v>
      </c>
    </row>
    <row r="180" spans="30:31" x14ac:dyDescent="0.2">
      <c r="AD180">
        <v>1750</v>
      </c>
      <c r="AE180" s="2">
        <v>0</v>
      </c>
    </row>
    <row r="181" spans="30:31" x14ac:dyDescent="0.2">
      <c r="AD181">
        <v>1760</v>
      </c>
      <c r="AE181" s="2">
        <v>0</v>
      </c>
    </row>
    <row r="182" spans="30:31" x14ac:dyDescent="0.2">
      <c r="AD182">
        <v>1770</v>
      </c>
      <c r="AE182" s="2">
        <v>0</v>
      </c>
    </row>
    <row r="183" spans="30:31" x14ac:dyDescent="0.2">
      <c r="AD183">
        <v>1780</v>
      </c>
      <c r="AE183" s="2">
        <v>0</v>
      </c>
    </row>
    <row r="184" spans="30:31" x14ac:dyDescent="0.2">
      <c r="AD184">
        <v>1790</v>
      </c>
      <c r="AE184" s="2">
        <v>0</v>
      </c>
    </row>
    <row r="185" spans="30:31" x14ac:dyDescent="0.2">
      <c r="AD185">
        <v>1800</v>
      </c>
      <c r="AE185" s="2">
        <v>0</v>
      </c>
    </row>
    <row r="186" spans="30:31" x14ac:dyDescent="0.2">
      <c r="AD186">
        <v>1810</v>
      </c>
      <c r="AE186" s="2">
        <v>0</v>
      </c>
    </row>
    <row r="187" spans="30:31" x14ac:dyDescent="0.2">
      <c r="AD187">
        <v>1820</v>
      </c>
      <c r="AE187" s="2">
        <v>0</v>
      </c>
    </row>
    <row r="188" spans="30:31" x14ac:dyDescent="0.2">
      <c r="AD188">
        <v>1830</v>
      </c>
      <c r="AE188" s="2">
        <v>0</v>
      </c>
    </row>
    <row r="189" spans="30:31" x14ac:dyDescent="0.2">
      <c r="AD189">
        <v>1840</v>
      </c>
      <c r="AE189" s="2">
        <v>0</v>
      </c>
    </row>
    <row r="190" spans="30:31" x14ac:dyDescent="0.2">
      <c r="AD190">
        <v>1850</v>
      </c>
      <c r="AE190" s="2">
        <v>0</v>
      </c>
    </row>
    <row r="191" spans="30:31" x14ac:dyDescent="0.2">
      <c r="AD191">
        <v>1860</v>
      </c>
      <c r="AE191" s="2">
        <v>0</v>
      </c>
    </row>
    <row r="192" spans="30:31" x14ac:dyDescent="0.2">
      <c r="AD192">
        <v>1870</v>
      </c>
      <c r="AE192" s="2">
        <v>0</v>
      </c>
    </row>
    <row r="193" spans="30:31" x14ac:dyDescent="0.2">
      <c r="AD193">
        <v>1880</v>
      </c>
      <c r="AE193" s="2">
        <v>0</v>
      </c>
    </row>
    <row r="194" spans="30:31" x14ac:dyDescent="0.2">
      <c r="AD194">
        <v>1890</v>
      </c>
      <c r="AE194" s="2">
        <v>0</v>
      </c>
    </row>
    <row r="195" spans="30:31" x14ac:dyDescent="0.2">
      <c r="AD195">
        <v>1900</v>
      </c>
      <c r="AE195" s="2">
        <v>0</v>
      </c>
    </row>
    <row r="196" spans="30:31" x14ac:dyDescent="0.2">
      <c r="AD196">
        <v>1910</v>
      </c>
      <c r="AE196" s="2">
        <v>0</v>
      </c>
    </row>
    <row r="197" spans="30:31" x14ac:dyDescent="0.2">
      <c r="AD197">
        <v>1920</v>
      </c>
      <c r="AE197" s="2">
        <v>0</v>
      </c>
    </row>
    <row r="198" spans="30:31" x14ac:dyDescent="0.2">
      <c r="AD198">
        <v>1930</v>
      </c>
      <c r="AE198" s="2">
        <v>1</v>
      </c>
    </row>
    <row r="199" spans="30:31" x14ac:dyDescent="0.2">
      <c r="AD199">
        <v>1940</v>
      </c>
      <c r="AE199" s="2">
        <v>0</v>
      </c>
    </row>
    <row r="200" spans="30:31" x14ac:dyDescent="0.2">
      <c r="AD200">
        <v>1950</v>
      </c>
      <c r="AE200" s="2">
        <v>1</v>
      </c>
    </row>
    <row r="201" spans="30:31" x14ac:dyDescent="0.2">
      <c r="AD201">
        <v>1960</v>
      </c>
      <c r="AE201" s="2">
        <v>0</v>
      </c>
    </row>
    <row r="202" spans="30:31" x14ac:dyDescent="0.2">
      <c r="AD202">
        <v>1970</v>
      </c>
      <c r="AE202" s="2">
        <v>0</v>
      </c>
    </row>
    <row r="203" spans="30:31" x14ac:dyDescent="0.2">
      <c r="AD203">
        <v>1980</v>
      </c>
      <c r="AE203" s="2">
        <v>0</v>
      </c>
    </row>
    <row r="204" spans="30:31" x14ac:dyDescent="0.2">
      <c r="AD204">
        <v>1990</v>
      </c>
      <c r="AE204" s="2">
        <v>0</v>
      </c>
    </row>
    <row r="205" spans="30:31" x14ac:dyDescent="0.2">
      <c r="AD205">
        <v>2000</v>
      </c>
      <c r="AE205" s="2">
        <v>0</v>
      </c>
    </row>
    <row r="206" spans="30:31" x14ac:dyDescent="0.2">
      <c r="AD206">
        <v>2010</v>
      </c>
      <c r="AE206" s="2">
        <v>0</v>
      </c>
    </row>
    <row r="207" spans="30:31" x14ac:dyDescent="0.2">
      <c r="AD207">
        <v>2020</v>
      </c>
      <c r="AE207" s="2">
        <v>0</v>
      </c>
    </row>
    <row r="208" spans="30:31" x14ac:dyDescent="0.2">
      <c r="AD208">
        <v>2030</v>
      </c>
      <c r="AE208" s="2">
        <v>0</v>
      </c>
    </row>
    <row r="209" spans="30:31" x14ac:dyDescent="0.2">
      <c r="AD209">
        <v>2040</v>
      </c>
      <c r="AE209" s="2">
        <v>0</v>
      </c>
    </row>
    <row r="210" spans="30:31" x14ac:dyDescent="0.2">
      <c r="AD210">
        <v>2050</v>
      </c>
      <c r="AE210" s="2">
        <v>0</v>
      </c>
    </row>
    <row r="211" spans="30:31" x14ac:dyDescent="0.2">
      <c r="AD211">
        <v>2060</v>
      </c>
      <c r="AE211" s="2">
        <v>1</v>
      </c>
    </row>
    <row r="212" spans="30:31" x14ac:dyDescent="0.2">
      <c r="AD212">
        <v>2070</v>
      </c>
      <c r="AE212" s="2">
        <v>0</v>
      </c>
    </row>
    <row r="213" spans="30:31" x14ac:dyDescent="0.2">
      <c r="AD213">
        <v>2080</v>
      </c>
      <c r="AE213" s="2">
        <v>0</v>
      </c>
    </row>
    <row r="214" spans="30:31" x14ac:dyDescent="0.2">
      <c r="AD214">
        <v>2090</v>
      </c>
      <c r="AE214" s="2">
        <v>0</v>
      </c>
    </row>
    <row r="215" spans="30:31" x14ac:dyDescent="0.2">
      <c r="AD215">
        <v>2100</v>
      </c>
      <c r="AE215" s="2">
        <v>0</v>
      </c>
    </row>
    <row r="216" spans="30:31" x14ac:dyDescent="0.2">
      <c r="AD216">
        <v>2110</v>
      </c>
      <c r="AE216" s="2">
        <v>1</v>
      </c>
    </row>
    <row r="217" spans="30:31" x14ac:dyDescent="0.2">
      <c r="AD217">
        <v>2120</v>
      </c>
      <c r="AE217" s="2">
        <v>0</v>
      </c>
    </row>
    <row r="218" spans="30:31" x14ac:dyDescent="0.2">
      <c r="AD218">
        <v>2130</v>
      </c>
      <c r="AE218" s="2">
        <v>0</v>
      </c>
    </row>
    <row r="219" spans="30:31" x14ac:dyDescent="0.2">
      <c r="AD219">
        <v>2140</v>
      </c>
      <c r="AE219" s="2">
        <v>0</v>
      </c>
    </row>
    <row r="220" spans="30:31" x14ac:dyDescent="0.2">
      <c r="AD220">
        <v>2150</v>
      </c>
      <c r="AE220" s="2">
        <v>0</v>
      </c>
    </row>
    <row r="221" spans="30:31" x14ac:dyDescent="0.2">
      <c r="AD221">
        <v>2160</v>
      </c>
      <c r="AE221" s="2">
        <v>0</v>
      </c>
    </row>
    <row r="222" spans="30:31" x14ac:dyDescent="0.2">
      <c r="AD222">
        <v>2170</v>
      </c>
      <c r="AE222" s="2">
        <v>0</v>
      </c>
    </row>
    <row r="223" spans="30:31" x14ac:dyDescent="0.2">
      <c r="AD223">
        <v>2180</v>
      </c>
      <c r="AE223" s="2">
        <v>0</v>
      </c>
    </row>
    <row r="224" spans="30:31" x14ac:dyDescent="0.2">
      <c r="AD224">
        <v>2190</v>
      </c>
      <c r="AE224" s="2">
        <v>0</v>
      </c>
    </row>
    <row r="225" spans="30:31" x14ac:dyDescent="0.2">
      <c r="AD225">
        <v>2200</v>
      </c>
      <c r="AE225" s="2">
        <v>0</v>
      </c>
    </row>
    <row r="226" spans="30:31" x14ac:dyDescent="0.2">
      <c r="AD226">
        <v>2210</v>
      </c>
      <c r="AE226" s="2">
        <v>0</v>
      </c>
    </row>
    <row r="227" spans="30:31" x14ac:dyDescent="0.2">
      <c r="AD227">
        <v>2220</v>
      </c>
      <c r="AE227" s="2">
        <v>0</v>
      </c>
    </row>
    <row r="228" spans="30:31" x14ac:dyDescent="0.2">
      <c r="AD228">
        <v>2230</v>
      </c>
      <c r="AE228" s="2">
        <v>0</v>
      </c>
    </row>
    <row r="229" spans="30:31" x14ac:dyDescent="0.2">
      <c r="AD229">
        <v>2240</v>
      </c>
      <c r="AE229" s="2">
        <v>0</v>
      </c>
    </row>
    <row r="230" spans="30:31" x14ac:dyDescent="0.2">
      <c r="AD230">
        <v>2250</v>
      </c>
      <c r="AE230" s="2">
        <v>0</v>
      </c>
    </row>
    <row r="231" spans="30:31" x14ac:dyDescent="0.2">
      <c r="AD231">
        <v>2260</v>
      </c>
      <c r="AE231" s="2">
        <v>2</v>
      </c>
    </row>
    <row r="232" spans="30:31" x14ac:dyDescent="0.2">
      <c r="AD232">
        <v>2270</v>
      </c>
      <c r="AE232" s="2">
        <v>0</v>
      </c>
    </row>
    <row r="233" spans="30:31" x14ac:dyDescent="0.2">
      <c r="AD233">
        <v>2280</v>
      </c>
      <c r="AE233" s="2">
        <v>0</v>
      </c>
    </row>
    <row r="234" spans="30:31" x14ac:dyDescent="0.2">
      <c r="AD234">
        <v>2290</v>
      </c>
      <c r="AE234" s="2">
        <v>0</v>
      </c>
    </row>
    <row r="235" spans="30:31" x14ac:dyDescent="0.2">
      <c r="AD235">
        <v>2300</v>
      </c>
      <c r="AE235" s="2">
        <v>0</v>
      </c>
    </row>
    <row r="236" spans="30:31" x14ac:dyDescent="0.2">
      <c r="AD236">
        <v>2310</v>
      </c>
      <c r="AE236" s="2">
        <v>1</v>
      </c>
    </row>
    <row r="237" spans="30:31" x14ac:dyDescent="0.2">
      <c r="AD237">
        <v>2320</v>
      </c>
      <c r="AE237" s="2">
        <v>0</v>
      </c>
    </row>
    <row r="238" spans="30:31" x14ac:dyDescent="0.2">
      <c r="AD238">
        <v>2330</v>
      </c>
      <c r="AE238" s="2">
        <v>0</v>
      </c>
    </row>
    <row r="239" spans="30:31" x14ac:dyDescent="0.2">
      <c r="AD239">
        <v>2340</v>
      </c>
      <c r="AE239" s="2">
        <v>0</v>
      </c>
    </row>
    <row r="240" spans="30:31" x14ac:dyDescent="0.2">
      <c r="AD240">
        <v>2350</v>
      </c>
      <c r="AE240" s="2">
        <v>0</v>
      </c>
    </row>
    <row r="241" spans="30:31" x14ac:dyDescent="0.2">
      <c r="AD241">
        <v>2360</v>
      </c>
      <c r="AE241" s="2">
        <v>1</v>
      </c>
    </row>
    <row r="242" spans="30:31" x14ac:dyDescent="0.2">
      <c r="AD242">
        <v>2370</v>
      </c>
      <c r="AE242" s="2">
        <v>0</v>
      </c>
    </row>
    <row r="243" spans="30:31" x14ac:dyDescent="0.2">
      <c r="AD243">
        <v>2380</v>
      </c>
      <c r="AE243" s="2">
        <v>0</v>
      </c>
    </row>
    <row r="244" spans="30:31" x14ac:dyDescent="0.2">
      <c r="AD244">
        <v>2390</v>
      </c>
      <c r="AE244" s="2">
        <v>0</v>
      </c>
    </row>
    <row r="245" spans="30:31" x14ac:dyDescent="0.2">
      <c r="AD245">
        <v>2400</v>
      </c>
      <c r="AE245" s="2">
        <v>0</v>
      </c>
    </row>
    <row r="246" spans="30:31" x14ac:dyDescent="0.2">
      <c r="AD246">
        <v>2410</v>
      </c>
      <c r="AE246" s="2">
        <v>0</v>
      </c>
    </row>
    <row r="247" spans="30:31" x14ac:dyDescent="0.2">
      <c r="AD247">
        <v>2420</v>
      </c>
      <c r="AE247" s="2">
        <v>0</v>
      </c>
    </row>
    <row r="248" spans="30:31" x14ac:dyDescent="0.2">
      <c r="AD248">
        <v>2430</v>
      </c>
      <c r="AE248" s="2">
        <v>0</v>
      </c>
    </row>
    <row r="249" spans="30:31" x14ac:dyDescent="0.2">
      <c r="AD249">
        <v>2440</v>
      </c>
      <c r="AE249" s="2">
        <v>1</v>
      </c>
    </row>
    <row r="250" spans="30:31" x14ac:dyDescent="0.2">
      <c r="AD250">
        <v>2450</v>
      </c>
      <c r="AE250" s="2">
        <v>0</v>
      </c>
    </row>
    <row r="251" spans="30:31" x14ac:dyDescent="0.2">
      <c r="AD251">
        <v>2460</v>
      </c>
      <c r="AE251" s="2">
        <v>0</v>
      </c>
    </row>
    <row r="252" spans="30:31" x14ac:dyDescent="0.2">
      <c r="AD252">
        <v>2470</v>
      </c>
      <c r="AE252" s="2">
        <v>0</v>
      </c>
    </row>
    <row r="253" spans="30:31" x14ac:dyDescent="0.2">
      <c r="AD253">
        <v>2480</v>
      </c>
      <c r="AE253" s="2">
        <v>0</v>
      </c>
    </row>
    <row r="254" spans="30:31" x14ac:dyDescent="0.2">
      <c r="AD254">
        <v>2490</v>
      </c>
      <c r="AE254" s="2">
        <v>0</v>
      </c>
    </row>
    <row r="255" spans="30:31" x14ac:dyDescent="0.2">
      <c r="AD255">
        <v>2500</v>
      </c>
      <c r="AE255" s="2">
        <v>0</v>
      </c>
    </row>
    <row r="256" spans="30:31" x14ac:dyDescent="0.2">
      <c r="AD256">
        <v>2510</v>
      </c>
      <c r="AE256" s="2">
        <v>0</v>
      </c>
    </row>
    <row r="257" spans="30:31" x14ac:dyDescent="0.2">
      <c r="AD257">
        <v>2520</v>
      </c>
      <c r="AE257" s="2">
        <v>0</v>
      </c>
    </row>
    <row r="258" spans="30:31" x14ac:dyDescent="0.2">
      <c r="AD258">
        <v>2530</v>
      </c>
      <c r="AE258" s="2">
        <v>0</v>
      </c>
    </row>
    <row r="259" spans="30:31" x14ac:dyDescent="0.2">
      <c r="AD259">
        <v>2540</v>
      </c>
      <c r="AE259" s="2">
        <v>0</v>
      </c>
    </row>
    <row r="260" spans="30:31" x14ac:dyDescent="0.2">
      <c r="AD260">
        <v>2550</v>
      </c>
      <c r="AE260" s="2">
        <v>0</v>
      </c>
    </row>
    <row r="261" spans="30:31" x14ac:dyDescent="0.2">
      <c r="AD261">
        <v>2560</v>
      </c>
      <c r="AE261" s="2">
        <v>0</v>
      </c>
    </row>
    <row r="262" spans="30:31" x14ac:dyDescent="0.2">
      <c r="AD262">
        <v>2570</v>
      </c>
      <c r="AE262" s="2">
        <v>0</v>
      </c>
    </row>
    <row r="263" spans="30:31" x14ac:dyDescent="0.2">
      <c r="AD263">
        <v>2580</v>
      </c>
      <c r="AE263" s="2">
        <v>0</v>
      </c>
    </row>
    <row r="264" spans="30:31" x14ac:dyDescent="0.2">
      <c r="AD264">
        <v>2590</v>
      </c>
      <c r="AE264" s="2">
        <v>0</v>
      </c>
    </row>
    <row r="265" spans="30:31" x14ac:dyDescent="0.2">
      <c r="AD265">
        <v>2600</v>
      </c>
      <c r="AE265" s="2">
        <v>0</v>
      </c>
    </row>
    <row r="266" spans="30:31" x14ac:dyDescent="0.2">
      <c r="AD266">
        <v>2610</v>
      </c>
      <c r="AE266" s="2">
        <v>0</v>
      </c>
    </row>
    <row r="267" spans="30:31" x14ac:dyDescent="0.2">
      <c r="AD267">
        <v>2620</v>
      </c>
      <c r="AE267" s="2">
        <v>0</v>
      </c>
    </row>
    <row r="268" spans="30:31" x14ac:dyDescent="0.2">
      <c r="AD268">
        <v>2630</v>
      </c>
      <c r="AE268" s="2">
        <v>0</v>
      </c>
    </row>
    <row r="269" spans="30:31" x14ac:dyDescent="0.2">
      <c r="AD269">
        <v>2640</v>
      </c>
      <c r="AE269" s="2">
        <v>0</v>
      </c>
    </row>
    <row r="270" spans="30:31" x14ac:dyDescent="0.2">
      <c r="AD270">
        <v>2650</v>
      </c>
      <c r="AE270" s="2">
        <v>0</v>
      </c>
    </row>
    <row r="271" spans="30:31" x14ac:dyDescent="0.2">
      <c r="AD271">
        <v>2660</v>
      </c>
      <c r="AE271" s="2">
        <v>0</v>
      </c>
    </row>
    <row r="272" spans="30:31" x14ac:dyDescent="0.2">
      <c r="AD272">
        <v>2670</v>
      </c>
      <c r="AE272" s="2">
        <v>0</v>
      </c>
    </row>
    <row r="273" spans="30:31" x14ac:dyDescent="0.2">
      <c r="AD273">
        <v>2680</v>
      </c>
      <c r="AE273" s="2">
        <v>0</v>
      </c>
    </row>
    <row r="274" spans="30:31" x14ac:dyDescent="0.2">
      <c r="AD274">
        <v>2690</v>
      </c>
      <c r="AE274" s="2">
        <v>0</v>
      </c>
    </row>
    <row r="275" spans="30:31" x14ac:dyDescent="0.2">
      <c r="AD275">
        <v>2700</v>
      </c>
      <c r="AE275" s="2">
        <v>0</v>
      </c>
    </row>
    <row r="276" spans="30:31" x14ac:dyDescent="0.2">
      <c r="AD276">
        <v>2710</v>
      </c>
      <c r="AE276" s="2">
        <v>0</v>
      </c>
    </row>
    <row r="277" spans="30:31" x14ac:dyDescent="0.2">
      <c r="AD277">
        <v>2720</v>
      </c>
      <c r="AE277" s="2">
        <v>0</v>
      </c>
    </row>
    <row r="278" spans="30:31" x14ac:dyDescent="0.2">
      <c r="AD278">
        <v>2730</v>
      </c>
      <c r="AE278" s="2">
        <v>0</v>
      </c>
    </row>
    <row r="279" spans="30:31" x14ac:dyDescent="0.2">
      <c r="AD279">
        <v>2740</v>
      </c>
      <c r="AE279" s="2">
        <v>0</v>
      </c>
    </row>
    <row r="280" spans="30:31" x14ac:dyDescent="0.2">
      <c r="AD280">
        <v>2750</v>
      </c>
      <c r="AE280" s="2">
        <v>0</v>
      </c>
    </row>
    <row r="281" spans="30:31" x14ac:dyDescent="0.2">
      <c r="AD281">
        <v>2760</v>
      </c>
      <c r="AE281" s="2">
        <v>0</v>
      </c>
    </row>
    <row r="282" spans="30:31" x14ac:dyDescent="0.2">
      <c r="AD282">
        <v>2770</v>
      </c>
      <c r="AE282" s="2">
        <v>0</v>
      </c>
    </row>
    <row r="283" spans="30:31" x14ac:dyDescent="0.2">
      <c r="AD283">
        <v>2780</v>
      </c>
      <c r="AE283" s="2">
        <v>0</v>
      </c>
    </row>
    <row r="284" spans="30:31" x14ac:dyDescent="0.2">
      <c r="AD284">
        <v>2790</v>
      </c>
      <c r="AE284" s="2">
        <v>0</v>
      </c>
    </row>
    <row r="285" spans="30:31" x14ac:dyDescent="0.2">
      <c r="AD285">
        <v>2800</v>
      </c>
      <c r="AE285" s="2">
        <v>0</v>
      </c>
    </row>
    <row r="286" spans="30:31" x14ac:dyDescent="0.2">
      <c r="AD286">
        <v>2810</v>
      </c>
      <c r="AE286" s="2">
        <v>0</v>
      </c>
    </row>
    <row r="287" spans="30:31" x14ac:dyDescent="0.2">
      <c r="AD287">
        <v>2820</v>
      </c>
      <c r="AE287" s="2">
        <v>0</v>
      </c>
    </row>
    <row r="288" spans="30:31" x14ac:dyDescent="0.2">
      <c r="AD288">
        <v>2830</v>
      </c>
      <c r="AE288" s="2">
        <v>0</v>
      </c>
    </row>
    <row r="289" spans="30:31" x14ac:dyDescent="0.2">
      <c r="AD289">
        <v>2840</v>
      </c>
      <c r="AE289" s="2">
        <v>0</v>
      </c>
    </row>
    <row r="290" spans="30:31" x14ac:dyDescent="0.2">
      <c r="AD290">
        <v>2850</v>
      </c>
      <c r="AE290" s="2">
        <v>0</v>
      </c>
    </row>
    <row r="291" spans="30:31" x14ac:dyDescent="0.2">
      <c r="AD291">
        <v>2860</v>
      </c>
      <c r="AE291" s="2">
        <v>0</v>
      </c>
    </row>
    <row r="292" spans="30:31" x14ac:dyDescent="0.2">
      <c r="AD292">
        <v>2870</v>
      </c>
      <c r="AE292" s="2">
        <v>0</v>
      </c>
    </row>
    <row r="293" spans="30:31" x14ac:dyDescent="0.2">
      <c r="AD293">
        <v>2880</v>
      </c>
      <c r="AE293" s="2">
        <v>0</v>
      </c>
    </row>
    <row r="294" spans="30:31" x14ac:dyDescent="0.2">
      <c r="AD294">
        <v>2890</v>
      </c>
      <c r="AE294" s="2">
        <v>1</v>
      </c>
    </row>
    <row r="295" spans="30:31" x14ac:dyDescent="0.2">
      <c r="AD295">
        <v>2900</v>
      </c>
      <c r="AE295" s="2">
        <v>0</v>
      </c>
    </row>
    <row r="296" spans="30:31" x14ac:dyDescent="0.2">
      <c r="AD296">
        <v>2910</v>
      </c>
      <c r="AE296" s="2">
        <v>1</v>
      </c>
    </row>
    <row r="297" spans="30:31" x14ac:dyDescent="0.2">
      <c r="AD297">
        <v>2920</v>
      </c>
      <c r="AE297" s="2">
        <v>0</v>
      </c>
    </row>
    <row r="298" spans="30:31" x14ac:dyDescent="0.2">
      <c r="AD298">
        <v>2930</v>
      </c>
      <c r="AE298" s="2">
        <v>0</v>
      </c>
    </row>
    <row r="299" spans="30:31" x14ac:dyDescent="0.2">
      <c r="AD299">
        <v>2940</v>
      </c>
      <c r="AE299" s="2">
        <v>0</v>
      </c>
    </row>
    <row r="300" spans="30:31" x14ac:dyDescent="0.2">
      <c r="AD300">
        <v>2950</v>
      </c>
      <c r="AE300" s="2">
        <v>0</v>
      </c>
    </row>
    <row r="301" spans="30:31" x14ac:dyDescent="0.2">
      <c r="AD301">
        <v>2960</v>
      </c>
      <c r="AE301" s="2">
        <v>0</v>
      </c>
    </row>
    <row r="302" spans="30:31" x14ac:dyDescent="0.2">
      <c r="AD302">
        <v>2970</v>
      </c>
      <c r="AE302" s="2">
        <v>0</v>
      </c>
    </row>
    <row r="303" spans="30:31" x14ac:dyDescent="0.2">
      <c r="AD303">
        <v>2980</v>
      </c>
      <c r="AE303" s="2">
        <v>0</v>
      </c>
    </row>
    <row r="304" spans="30:31" x14ac:dyDescent="0.2">
      <c r="AD304">
        <v>2990</v>
      </c>
      <c r="AE304" s="2">
        <v>0</v>
      </c>
    </row>
    <row r="305" spans="30:31" x14ac:dyDescent="0.2">
      <c r="AD305">
        <v>3000</v>
      </c>
      <c r="AE305" s="2">
        <v>0</v>
      </c>
    </row>
    <row r="306" spans="30:31" x14ac:dyDescent="0.2">
      <c r="AD306">
        <v>3010</v>
      </c>
      <c r="AE306" s="2">
        <v>0</v>
      </c>
    </row>
    <row r="307" spans="30:31" x14ac:dyDescent="0.2">
      <c r="AD307">
        <v>3020</v>
      </c>
      <c r="AE307" s="2">
        <v>0</v>
      </c>
    </row>
    <row r="308" spans="30:31" x14ac:dyDescent="0.2">
      <c r="AD308">
        <v>3030</v>
      </c>
      <c r="AE308" s="2">
        <v>0</v>
      </c>
    </row>
    <row r="309" spans="30:31" x14ac:dyDescent="0.2">
      <c r="AD309">
        <v>3040</v>
      </c>
      <c r="AE309" s="2">
        <v>0</v>
      </c>
    </row>
    <row r="310" spans="30:31" x14ac:dyDescent="0.2">
      <c r="AD310">
        <v>3050</v>
      </c>
      <c r="AE310" s="2">
        <v>0</v>
      </c>
    </row>
    <row r="311" spans="30:31" x14ac:dyDescent="0.2">
      <c r="AD311">
        <v>3060</v>
      </c>
      <c r="AE311" s="2">
        <v>0</v>
      </c>
    </row>
    <row r="312" spans="30:31" x14ac:dyDescent="0.2">
      <c r="AD312">
        <v>3070</v>
      </c>
      <c r="AE312" s="2">
        <v>0</v>
      </c>
    </row>
    <row r="313" spans="30:31" x14ac:dyDescent="0.2">
      <c r="AD313">
        <v>3080</v>
      </c>
      <c r="AE313" s="2">
        <v>0</v>
      </c>
    </row>
    <row r="314" spans="30:31" x14ac:dyDescent="0.2">
      <c r="AD314">
        <v>3090</v>
      </c>
      <c r="AE314" s="2">
        <v>0</v>
      </c>
    </row>
    <row r="315" spans="30:31" x14ac:dyDescent="0.2">
      <c r="AD315">
        <v>3100</v>
      </c>
      <c r="AE315" s="2">
        <v>0</v>
      </c>
    </row>
    <row r="316" spans="30:31" x14ac:dyDescent="0.2">
      <c r="AD316">
        <v>3110</v>
      </c>
      <c r="AE316" s="2">
        <v>0</v>
      </c>
    </row>
    <row r="317" spans="30:31" x14ac:dyDescent="0.2">
      <c r="AD317">
        <v>3120</v>
      </c>
      <c r="AE317" s="2">
        <v>1</v>
      </c>
    </row>
    <row r="318" spans="30:31" x14ac:dyDescent="0.2">
      <c r="AD318">
        <v>3130</v>
      </c>
      <c r="AE318" s="2">
        <v>0</v>
      </c>
    </row>
    <row r="319" spans="30:31" x14ac:dyDescent="0.2">
      <c r="AD319">
        <v>3140</v>
      </c>
      <c r="AE319" s="2">
        <v>0</v>
      </c>
    </row>
    <row r="320" spans="30:31" x14ac:dyDescent="0.2">
      <c r="AD320">
        <v>3150</v>
      </c>
      <c r="AE320" s="2">
        <v>0</v>
      </c>
    </row>
    <row r="321" spans="30:31" x14ac:dyDescent="0.2">
      <c r="AD321">
        <v>3160</v>
      </c>
      <c r="AE321" s="2">
        <v>0</v>
      </c>
    </row>
    <row r="322" spans="30:31" x14ac:dyDescent="0.2">
      <c r="AD322">
        <v>3170</v>
      </c>
      <c r="AE322" s="2">
        <v>0</v>
      </c>
    </row>
    <row r="323" spans="30:31" x14ac:dyDescent="0.2">
      <c r="AD323">
        <v>3180</v>
      </c>
      <c r="AE323" s="2">
        <v>0</v>
      </c>
    </row>
    <row r="324" spans="30:31" x14ac:dyDescent="0.2">
      <c r="AD324">
        <v>3190</v>
      </c>
      <c r="AE324" s="2">
        <v>0</v>
      </c>
    </row>
    <row r="325" spans="30:31" x14ac:dyDescent="0.2">
      <c r="AD325">
        <v>3200</v>
      </c>
      <c r="AE325" s="2">
        <v>0</v>
      </c>
    </row>
    <row r="326" spans="30:31" x14ac:dyDescent="0.2">
      <c r="AD326">
        <v>3210</v>
      </c>
      <c r="AE326" s="2">
        <v>0</v>
      </c>
    </row>
    <row r="327" spans="30:31" x14ac:dyDescent="0.2">
      <c r="AD327">
        <v>3220</v>
      </c>
      <c r="AE327" s="2">
        <v>0</v>
      </c>
    </row>
    <row r="328" spans="30:31" x14ac:dyDescent="0.2">
      <c r="AD328">
        <v>3230</v>
      </c>
      <c r="AE328" s="2">
        <v>0</v>
      </c>
    </row>
    <row r="329" spans="30:31" x14ac:dyDescent="0.2">
      <c r="AD329">
        <v>3240</v>
      </c>
      <c r="AE329" s="2">
        <v>0</v>
      </c>
    </row>
    <row r="330" spans="30:31" x14ac:dyDescent="0.2">
      <c r="AD330">
        <v>3250</v>
      </c>
      <c r="AE330" s="2">
        <v>0</v>
      </c>
    </row>
    <row r="331" spans="30:31" x14ac:dyDescent="0.2">
      <c r="AD331">
        <v>3260</v>
      </c>
      <c r="AE331" s="2">
        <v>0</v>
      </c>
    </row>
    <row r="332" spans="30:31" x14ac:dyDescent="0.2">
      <c r="AD332">
        <v>3270</v>
      </c>
      <c r="AE332" s="2">
        <v>0</v>
      </c>
    </row>
    <row r="333" spans="30:31" x14ac:dyDescent="0.2">
      <c r="AD333">
        <v>3280</v>
      </c>
      <c r="AE333" s="2">
        <v>0</v>
      </c>
    </row>
    <row r="334" spans="30:31" x14ac:dyDescent="0.2">
      <c r="AD334">
        <v>3290</v>
      </c>
      <c r="AE334" s="2">
        <v>0</v>
      </c>
    </row>
    <row r="335" spans="30:31" x14ac:dyDescent="0.2">
      <c r="AD335">
        <v>3300</v>
      </c>
      <c r="AE335" s="2">
        <v>0</v>
      </c>
    </row>
    <row r="336" spans="30:31" x14ac:dyDescent="0.2">
      <c r="AD336">
        <v>3310</v>
      </c>
      <c r="AE336" s="2">
        <v>0</v>
      </c>
    </row>
    <row r="337" spans="30:31" x14ac:dyDescent="0.2">
      <c r="AD337">
        <v>3320</v>
      </c>
      <c r="AE337" s="2">
        <v>0</v>
      </c>
    </row>
    <row r="338" spans="30:31" x14ac:dyDescent="0.2">
      <c r="AD338">
        <v>3330</v>
      </c>
      <c r="AE338" s="2">
        <v>0</v>
      </c>
    </row>
    <row r="339" spans="30:31" x14ac:dyDescent="0.2">
      <c r="AD339">
        <v>3340</v>
      </c>
      <c r="AE339" s="2">
        <v>0</v>
      </c>
    </row>
    <row r="340" spans="30:31" x14ac:dyDescent="0.2">
      <c r="AD340">
        <v>3350</v>
      </c>
      <c r="AE340" s="2">
        <v>0</v>
      </c>
    </row>
    <row r="341" spans="30:31" x14ac:dyDescent="0.2">
      <c r="AD341">
        <v>3360</v>
      </c>
      <c r="AE341" s="2">
        <v>0</v>
      </c>
    </row>
    <row r="342" spans="30:31" x14ac:dyDescent="0.2">
      <c r="AD342">
        <v>3370</v>
      </c>
      <c r="AE342" s="2">
        <v>0</v>
      </c>
    </row>
    <row r="343" spans="30:31" x14ac:dyDescent="0.2">
      <c r="AD343">
        <v>3380</v>
      </c>
      <c r="AE343" s="2">
        <v>0</v>
      </c>
    </row>
    <row r="344" spans="30:31" x14ac:dyDescent="0.2">
      <c r="AD344">
        <v>3390</v>
      </c>
      <c r="AE344" s="2">
        <v>0</v>
      </c>
    </row>
    <row r="345" spans="30:31" x14ac:dyDescent="0.2">
      <c r="AD345">
        <v>3400</v>
      </c>
      <c r="AE345" s="2">
        <v>0</v>
      </c>
    </row>
    <row r="346" spans="30:31" x14ac:dyDescent="0.2">
      <c r="AD346">
        <v>3410</v>
      </c>
      <c r="AE346" s="2">
        <v>0</v>
      </c>
    </row>
    <row r="347" spans="30:31" x14ac:dyDescent="0.2">
      <c r="AD347">
        <v>3420</v>
      </c>
      <c r="AE347" s="2">
        <v>0</v>
      </c>
    </row>
    <row r="348" spans="30:31" x14ac:dyDescent="0.2">
      <c r="AD348">
        <v>3430</v>
      </c>
      <c r="AE348" s="2">
        <v>0</v>
      </c>
    </row>
    <row r="349" spans="30:31" x14ac:dyDescent="0.2">
      <c r="AD349">
        <v>3440</v>
      </c>
      <c r="AE349" s="2">
        <v>0</v>
      </c>
    </row>
    <row r="350" spans="30:31" x14ac:dyDescent="0.2">
      <c r="AD350">
        <v>3450</v>
      </c>
      <c r="AE350" s="2">
        <v>0</v>
      </c>
    </row>
    <row r="351" spans="30:31" x14ac:dyDescent="0.2">
      <c r="AD351">
        <v>3460</v>
      </c>
      <c r="AE351" s="2">
        <v>0</v>
      </c>
    </row>
    <row r="352" spans="30:31" x14ac:dyDescent="0.2">
      <c r="AD352">
        <v>3470</v>
      </c>
      <c r="AE352" s="2">
        <v>0</v>
      </c>
    </row>
    <row r="353" spans="30:31" x14ac:dyDescent="0.2">
      <c r="AD353">
        <v>3480</v>
      </c>
      <c r="AE353" s="2">
        <v>0</v>
      </c>
    </row>
    <row r="354" spans="30:31" x14ac:dyDescent="0.2">
      <c r="AD354">
        <v>3490</v>
      </c>
      <c r="AE354" s="2">
        <v>0</v>
      </c>
    </row>
    <row r="355" spans="30:31" x14ac:dyDescent="0.2">
      <c r="AD355">
        <v>3500</v>
      </c>
      <c r="AE355" s="2">
        <v>0</v>
      </c>
    </row>
    <row r="356" spans="30:31" x14ac:dyDescent="0.2">
      <c r="AD356">
        <v>3510</v>
      </c>
      <c r="AE356" s="2">
        <v>0</v>
      </c>
    </row>
    <row r="357" spans="30:31" x14ac:dyDescent="0.2">
      <c r="AD357">
        <v>3520</v>
      </c>
      <c r="AE357" s="2">
        <v>0</v>
      </c>
    </row>
    <row r="358" spans="30:31" x14ac:dyDescent="0.2">
      <c r="AD358">
        <v>3530</v>
      </c>
      <c r="AE358" s="2">
        <v>1</v>
      </c>
    </row>
    <row r="359" spans="30:31" x14ac:dyDescent="0.2">
      <c r="AD359">
        <v>3540</v>
      </c>
      <c r="AE359" s="2">
        <v>0</v>
      </c>
    </row>
    <row r="360" spans="30:31" x14ac:dyDescent="0.2">
      <c r="AD360">
        <v>3550</v>
      </c>
      <c r="AE360" s="2">
        <v>0</v>
      </c>
    </row>
    <row r="361" spans="30:31" x14ac:dyDescent="0.2">
      <c r="AD361">
        <v>3560</v>
      </c>
      <c r="AE361" s="2">
        <v>0</v>
      </c>
    </row>
    <row r="362" spans="30:31" x14ac:dyDescent="0.2">
      <c r="AD362">
        <v>3570</v>
      </c>
      <c r="AE362" s="2">
        <v>0</v>
      </c>
    </row>
    <row r="363" spans="30:31" x14ac:dyDescent="0.2">
      <c r="AD363">
        <v>3580</v>
      </c>
      <c r="AE363" s="2">
        <v>0</v>
      </c>
    </row>
    <row r="364" spans="30:31" x14ac:dyDescent="0.2">
      <c r="AD364">
        <v>3590</v>
      </c>
      <c r="AE364" s="2">
        <v>0</v>
      </c>
    </row>
    <row r="365" spans="30:31" x14ac:dyDescent="0.2">
      <c r="AD365">
        <v>3600</v>
      </c>
      <c r="AE365" s="2">
        <v>0</v>
      </c>
    </row>
    <row r="366" spans="30:31" x14ac:dyDescent="0.2">
      <c r="AD366">
        <v>3610</v>
      </c>
      <c r="AE366" s="2">
        <v>0</v>
      </c>
    </row>
    <row r="367" spans="30:31" x14ac:dyDescent="0.2">
      <c r="AD367">
        <v>3620</v>
      </c>
      <c r="AE367" s="2">
        <v>0</v>
      </c>
    </row>
    <row r="368" spans="30:31" x14ac:dyDescent="0.2">
      <c r="AD368">
        <v>3630</v>
      </c>
      <c r="AE368" s="2">
        <v>0</v>
      </c>
    </row>
    <row r="369" spans="30:31" x14ac:dyDescent="0.2">
      <c r="AD369">
        <v>3640</v>
      </c>
      <c r="AE369" s="2">
        <v>0</v>
      </c>
    </row>
    <row r="370" spans="30:31" x14ac:dyDescent="0.2">
      <c r="AD370">
        <v>3650</v>
      </c>
      <c r="AE370" s="2">
        <v>0</v>
      </c>
    </row>
    <row r="371" spans="30:31" x14ac:dyDescent="0.2">
      <c r="AD371">
        <v>3660</v>
      </c>
      <c r="AE371" s="2">
        <v>0</v>
      </c>
    </row>
    <row r="372" spans="30:31" x14ac:dyDescent="0.2">
      <c r="AD372">
        <v>3670</v>
      </c>
      <c r="AE372" s="2">
        <v>0</v>
      </c>
    </row>
    <row r="373" spans="30:31" x14ac:dyDescent="0.2">
      <c r="AD373">
        <v>3680</v>
      </c>
      <c r="AE373" s="2">
        <v>0</v>
      </c>
    </row>
    <row r="374" spans="30:31" x14ac:dyDescent="0.2">
      <c r="AD374">
        <v>3690</v>
      </c>
      <c r="AE374" s="2">
        <v>0</v>
      </c>
    </row>
    <row r="375" spans="30:31" x14ac:dyDescent="0.2">
      <c r="AD375">
        <v>3700</v>
      </c>
      <c r="AE375" s="2">
        <v>0</v>
      </c>
    </row>
    <row r="376" spans="30:31" x14ac:dyDescent="0.2">
      <c r="AD376">
        <v>3710</v>
      </c>
      <c r="AE376" s="2">
        <v>0</v>
      </c>
    </row>
    <row r="377" spans="30:31" x14ac:dyDescent="0.2">
      <c r="AD377">
        <v>3720</v>
      </c>
      <c r="AE377" s="2">
        <v>0</v>
      </c>
    </row>
    <row r="378" spans="30:31" x14ac:dyDescent="0.2">
      <c r="AD378">
        <v>3730</v>
      </c>
      <c r="AE378" s="2">
        <v>0</v>
      </c>
    </row>
    <row r="379" spans="30:31" x14ac:dyDescent="0.2">
      <c r="AD379">
        <v>3740</v>
      </c>
      <c r="AE379" s="2">
        <v>0</v>
      </c>
    </row>
    <row r="380" spans="30:31" x14ac:dyDescent="0.2">
      <c r="AD380">
        <v>3750</v>
      </c>
      <c r="AE380" s="2">
        <v>0</v>
      </c>
    </row>
    <row r="381" spans="30:31" x14ac:dyDescent="0.2">
      <c r="AD381">
        <v>3760</v>
      </c>
      <c r="AE381" s="2">
        <v>0</v>
      </c>
    </row>
    <row r="382" spans="30:31" x14ac:dyDescent="0.2">
      <c r="AD382">
        <v>3770</v>
      </c>
      <c r="AE382" s="2">
        <v>0</v>
      </c>
    </row>
    <row r="383" spans="30:31" x14ac:dyDescent="0.2">
      <c r="AD383">
        <v>3780</v>
      </c>
      <c r="AE383" s="2">
        <v>0</v>
      </c>
    </row>
    <row r="384" spans="30:31" x14ac:dyDescent="0.2">
      <c r="AD384">
        <v>3790</v>
      </c>
      <c r="AE384" s="2">
        <v>0</v>
      </c>
    </row>
    <row r="385" spans="30:31" x14ac:dyDescent="0.2">
      <c r="AD385">
        <v>3800</v>
      </c>
      <c r="AE385" s="2">
        <v>0</v>
      </c>
    </row>
    <row r="386" spans="30:31" x14ac:dyDescent="0.2">
      <c r="AD386">
        <v>3810</v>
      </c>
      <c r="AE386" s="2">
        <v>0</v>
      </c>
    </row>
    <row r="387" spans="30:31" x14ac:dyDescent="0.2">
      <c r="AD387">
        <v>3820</v>
      </c>
      <c r="AE387" s="2">
        <v>0</v>
      </c>
    </row>
    <row r="388" spans="30:31" x14ac:dyDescent="0.2">
      <c r="AD388">
        <v>3830</v>
      </c>
      <c r="AE388" s="2">
        <v>0</v>
      </c>
    </row>
    <row r="389" spans="30:31" x14ac:dyDescent="0.2">
      <c r="AD389">
        <v>3840</v>
      </c>
      <c r="AE389" s="2">
        <v>0</v>
      </c>
    </row>
    <row r="390" spans="30:31" x14ac:dyDescent="0.2">
      <c r="AD390">
        <v>3850</v>
      </c>
      <c r="AE390" s="2">
        <v>0</v>
      </c>
    </row>
    <row r="391" spans="30:31" x14ac:dyDescent="0.2">
      <c r="AD391">
        <v>3860</v>
      </c>
      <c r="AE391" s="2">
        <v>0</v>
      </c>
    </row>
    <row r="392" spans="30:31" x14ac:dyDescent="0.2">
      <c r="AD392">
        <v>3870</v>
      </c>
      <c r="AE392" s="2">
        <v>0</v>
      </c>
    </row>
    <row r="393" spans="30:31" x14ac:dyDescent="0.2">
      <c r="AD393">
        <v>3880</v>
      </c>
      <c r="AE393" s="2">
        <v>0</v>
      </c>
    </row>
    <row r="394" spans="30:31" x14ac:dyDescent="0.2">
      <c r="AD394">
        <v>3890</v>
      </c>
      <c r="AE394" s="2">
        <v>0</v>
      </c>
    </row>
    <row r="395" spans="30:31" x14ac:dyDescent="0.2">
      <c r="AD395">
        <v>3900</v>
      </c>
      <c r="AE395" s="2">
        <v>0</v>
      </c>
    </row>
    <row r="396" spans="30:31" x14ac:dyDescent="0.2">
      <c r="AD396">
        <v>3910</v>
      </c>
      <c r="AE396" s="2">
        <v>0</v>
      </c>
    </row>
    <row r="397" spans="30:31" x14ac:dyDescent="0.2">
      <c r="AD397">
        <v>3920</v>
      </c>
      <c r="AE397" s="2">
        <v>0</v>
      </c>
    </row>
    <row r="398" spans="30:31" x14ac:dyDescent="0.2">
      <c r="AD398">
        <v>3930</v>
      </c>
      <c r="AE398" s="2">
        <v>0</v>
      </c>
    </row>
    <row r="399" spans="30:31" x14ac:dyDescent="0.2">
      <c r="AD399">
        <v>3940</v>
      </c>
      <c r="AE399" s="2">
        <v>0</v>
      </c>
    </row>
    <row r="400" spans="30:31" x14ac:dyDescent="0.2">
      <c r="AD400">
        <v>3950</v>
      </c>
      <c r="AE400" s="2">
        <v>0</v>
      </c>
    </row>
    <row r="401" spans="30:31" x14ac:dyDescent="0.2">
      <c r="AD401">
        <v>3960</v>
      </c>
      <c r="AE401" s="2">
        <v>0</v>
      </c>
    </row>
    <row r="402" spans="30:31" x14ac:dyDescent="0.2">
      <c r="AD402">
        <v>3970</v>
      </c>
      <c r="AE402" s="2">
        <v>0</v>
      </c>
    </row>
    <row r="403" spans="30:31" x14ac:dyDescent="0.2">
      <c r="AD403">
        <v>3980</v>
      </c>
      <c r="AE403" s="2">
        <v>0</v>
      </c>
    </row>
    <row r="404" spans="30:31" x14ac:dyDescent="0.2">
      <c r="AD404">
        <v>3990</v>
      </c>
      <c r="AE404" s="2">
        <v>0</v>
      </c>
    </row>
    <row r="405" spans="30:31" x14ac:dyDescent="0.2">
      <c r="AD405">
        <v>4000</v>
      </c>
      <c r="AE405" s="2">
        <v>0</v>
      </c>
    </row>
    <row r="406" spans="30:31" x14ac:dyDescent="0.2">
      <c r="AD406">
        <v>4010</v>
      </c>
      <c r="AE406" s="2">
        <v>0</v>
      </c>
    </row>
    <row r="407" spans="30:31" x14ac:dyDescent="0.2">
      <c r="AD407">
        <v>4020</v>
      </c>
      <c r="AE407" s="2">
        <v>0</v>
      </c>
    </row>
    <row r="408" spans="30:31" x14ac:dyDescent="0.2">
      <c r="AD408">
        <v>4030</v>
      </c>
      <c r="AE408" s="2">
        <v>0</v>
      </c>
    </row>
    <row r="409" spans="30:31" x14ac:dyDescent="0.2">
      <c r="AD409">
        <v>4040</v>
      </c>
      <c r="AE409" s="2">
        <v>1</v>
      </c>
    </row>
    <row r="410" spans="30:31" x14ac:dyDescent="0.2">
      <c r="AD410">
        <v>4050</v>
      </c>
      <c r="AE410" s="2">
        <v>0</v>
      </c>
    </row>
    <row r="411" spans="30:31" x14ac:dyDescent="0.2">
      <c r="AD411">
        <v>4060</v>
      </c>
      <c r="AE411" s="2">
        <v>0</v>
      </c>
    </row>
    <row r="412" spans="30:31" x14ac:dyDescent="0.2">
      <c r="AD412">
        <v>4070</v>
      </c>
      <c r="AE412" s="2">
        <v>0</v>
      </c>
    </row>
    <row r="413" spans="30:31" x14ac:dyDescent="0.2">
      <c r="AD413">
        <v>4080</v>
      </c>
      <c r="AE413" s="2">
        <v>0</v>
      </c>
    </row>
    <row r="414" spans="30:31" x14ac:dyDescent="0.2">
      <c r="AD414">
        <v>4090</v>
      </c>
      <c r="AE414" s="2">
        <v>1</v>
      </c>
    </row>
    <row r="415" spans="30:31" x14ac:dyDescent="0.2">
      <c r="AD415">
        <v>4100</v>
      </c>
      <c r="AE415" s="2">
        <v>1</v>
      </c>
    </row>
    <row r="416" spans="30:31" x14ac:dyDescent="0.2">
      <c r="AD416">
        <v>4110</v>
      </c>
      <c r="AE416" s="2">
        <v>0</v>
      </c>
    </row>
    <row r="417" spans="30:31" x14ac:dyDescent="0.2">
      <c r="AD417">
        <v>4120</v>
      </c>
      <c r="AE417" s="2">
        <v>0</v>
      </c>
    </row>
    <row r="418" spans="30:31" x14ac:dyDescent="0.2">
      <c r="AD418">
        <v>4130</v>
      </c>
      <c r="AE418" s="2">
        <v>0</v>
      </c>
    </row>
    <row r="419" spans="30:31" x14ac:dyDescent="0.2">
      <c r="AD419">
        <v>4140</v>
      </c>
      <c r="AE419" s="2">
        <v>0</v>
      </c>
    </row>
    <row r="420" spans="30:31" x14ac:dyDescent="0.2">
      <c r="AD420">
        <v>4150</v>
      </c>
      <c r="AE420" s="2">
        <v>0</v>
      </c>
    </row>
    <row r="421" spans="30:31" x14ac:dyDescent="0.2">
      <c r="AD421">
        <v>4160</v>
      </c>
      <c r="AE421" s="2">
        <v>0</v>
      </c>
    </row>
    <row r="422" spans="30:31" x14ac:dyDescent="0.2">
      <c r="AD422">
        <v>4170</v>
      </c>
      <c r="AE422" s="2">
        <v>0</v>
      </c>
    </row>
    <row r="423" spans="30:31" x14ac:dyDescent="0.2">
      <c r="AD423">
        <v>4180</v>
      </c>
      <c r="AE423" s="2">
        <v>0</v>
      </c>
    </row>
    <row r="424" spans="30:31" x14ac:dyDescent="0.2">
      <c r="AD424">
        <v>4190</v>
      </c>
      <c r="AE424" s="2">
        <v>0</v>
      </c>
    </row>
    <row r="425" spans="30:31" x14ac:dyDescent="0.2">
      <c r="AD425">
        <v>4200</v>
      </c>
      <c r="AE425" s="2">
        <v>0</v>
      </c>
    </row>
    <row r="426" spans="30:31" x14ac:dyDescent="0.2">
      <c r="AD426">
        <v>4210</v>
      </c>
      <c r="AE426" s="2">
        <v>0</v>
      </c>
    </row>
    <row r="427" spans="30:31" x14ac:dyDescent="0.2">
      <c r="AD427">
        <v>4220</v>
      </c>
      <c r="AE427" s="2">
        <v>0</v>
      </c>
    </row>
    <row r="428" spans="30:31" x14ac:dyDescent="0.2">
      <c r="AD428">
        <v>4230</v>
      </c>
      <c r="AE428" s="2">
        <v>0</v>
      </c>
    </row>
    <row r="429" spans="30:31" x14ac:dyDescent="0.2">
      <c r="AD429">
        <v>4240</v>
      </c>
      <c r="AE429" s="2">
        <v>0</v>
      </c>
    </row>
    <row r="430" spans="30:31" x14ac:dyDescent="0.2">
      <c r="AD430">
        <v>4250</v>
      </c>
      <c r="AE430" s="2">
        <v>0</v>
      </c>
    </row>
    <row r="431" spans="30:31" x14ac:dyDescent="0.2">
      <c r="AD431">
        <v>4260</v>
      </c>
      <c r="AE431" s="2">
        <v>0</v>
      </c>
    </row>
    <row r="432" spans="30:31" x14ac:dyDescent="0.2">
      <c r="AD432">
        <v>4270</v>
      </c>
      <c r="AE432" s="2">
        <v>0</v>
      </c>
    </row>
    <row r="433" spans="30:31" x14ac:dyDescent="0.2">
      <c r="AD433">
        <v>4280</v>
      </c>
      <c r="AE433" s="2">
        <v>0</v>
      </c>
    </row>
    <row r="434" spans="30:31" x14ac:dyDescent="0.2">
      <c r="AD434">
        <v>4290</v>
      </c>
      <c r="AE434" s="2">
        <v>0</v>
      </c>
    </row>
    <row r="435" spans="30:31" x14ac:dyDescent="0.2">
      <c r="AD435">
        <v>4300</v>
      </c>
      <c r="AE435" s="2">
        <v>0</v>
      </c>
    </row>
    <row r="436" spans="30:31" x14ac:dyDescent="0.2">
      <c r="AD436">
        <v>4310</v>
      </c>
      <c r="AE436" s="2">
        <v>0</v>
      </c>
    </row>
    <row r="437" spans="30:31" x14ac:dyDescent="0.2">
      <c r="AD437">
        <v>4320</v>
      </c>
      <c r="AE437" s="2">
        <v>1</v>
      </c>
    </row>
    <row r="438" spans="30:31" x14ac:dyDescent="0.2">
      <c r="AD438">
        <v>4330</v>
      </c>
      <c r="AE438" s="2">
        <v>0</v>
      </c>
    </row>
    <row r="439" spans="30:31" x14ac:dyDescent="0.2">
      <c r="AD439">
        <v>4340</v>
      </c>
      <c r="AE439" s="2">
        <v>0</v>
      </c>
    </row>
    <row r="440" spans="30:31" x14ac:dyDescent="0.2">
      <c r="AD440">
        <v>4350</v>
      </c>
      <c r="AE440" s="2">
        <v>0</v>
      </c>
    </row>
    <row r="441" spans="30:31" x14ac:dyDescent="0.2">
      <c r="AD441">
        <v>4360</v>
      </c>
      <c r="AE441" s="2">
        <v>0</v>
      </c>
    </row>
    <row r="442" spans="30:31" x14ac:dyDescent="0.2">
      <c r="AD442">
        <v>4370</v>
      </c>
      <c r="AE442" s="2">
        <v>0</v>
      </c>
    </row>
    <row r="443" spans="30:31" x14ac:dyDescent="0.2">
      <c r="AD443">
        <v>4380</v>
      </c>
      <c r="AE443" s="2">
        <v>0</v>
      </c>
    </row>
    <row r="444" spans="30:31" x14ac:dyDescent="0.2">
      <c r="AD444">
        <v>4390</v>
      </c>
      <c r="AE444" s="2">
        <v>0</v>
      </c>
    </row>
    <row r="445" spans="30:31" x14ac:dyDescent="0.2">
      <c r="AD445">
        <v>4400</v>
      </c>
      <c r="AE445" s="2">
        <v>0</v>
      </c>
    </row>
    <row r="446" spans="30:31" x14ac:dyDescent="0.2">
      <c r="AD446">
        <v>4410</v>
      </c>
      <c r="AE446" s="2">
        <v>0</v>
      </c>
    </row>
    <row r="447" spans="30:31" x14ac:dyDescent="0.2">
      <c r="AD447">
        <v>4420</v>
      </c>
      <c r="AE447" s="2">
        <v>0</v>
      </c>
    </row>
    <row r="448" spans="30:31" x14ac:dyDescent="0.2">
      <c r="AD448">
        <v>4430</v>
      </c>
      <c r="AE448" s="2">
        <v>0</v>
      </c>
    </row>
    <row r="449" spans="30:31" x14ac:dyDescent="0.2">
      <c r="AD449">
        <v>4440</v>
      </c>
      <c r="AE449" s="2">
        <v>0</v>
      </c>
    </row>
    <row r="450" spans="30:31" x14ac:dyDescent="0.2">
      <c r="AD450">
        <v>4450</v>
      </c>
      <c r="AE450" s="2">
        <v>0</v>
      </c>
    </row>
    <row r="451" spans="30:31" x14ac:dyDescent="0.2">
      <c r="AD451">
        <v>4460</v>
      </c>
      <c r="AE451" s="2">
        <v>0</v>
      </c>
    </row>
    <row r="452" spans="30:31" x14ac:dyDescent="0.2">
      <c r="AD452">
        <v>4470</v>
      </c>
      <c r="AE452" s="2">
        <v>0</v>
      </c>
    </row>
    <row r="453" spans="30:31" x14ac:dyDescent="0.2">
      <c r="AD453">
        <v>4480</v>
      </c>
      <c r="AE453" s="2">
        <v>0</v>
      </c>
    </row>
    <row r="454" spans="30:31" x14ac:dyDescent="0.2">
      <c r="AD454">
        <v>4490</v>
      </c>
      <c r="AE454" s="2">
        <v>0</v>
      </c>
    </row>
    <row r="455" spans="30:31" x14ac:dyDescent="0.2">
      <c r="AD455">
        <v>4500</v>
      </c>
      <c r="AE455" s="2">
        <v>0</v>
      </c>
    </row>
    <row r="456" spans="30:31" x14ac:dyDescent="0.2">
      <c r="AD456">
        <v>4510</v>
      </c>
      <c r="AE456" s="2">
        <v>0</v>
      </c>
    </row>
    <row r="457" spans="30:31" x14ac:dyDescent="0.2">
      <c r="AD457">
        <v>4520</v>
      </c>
      <c r="AE457" s="2">
        <v>0</v>
      </c>
    </row>
    <row r="458" spans="30:31" x14ac:dyDescent="0.2">
      <c r="AD458">
        <v>4530</v>
      </c>
      <c r="AE458" s="2">
        <v>0</v>
      </c>
    </row>
    <row r="459" spans="30:31" x14ac:dyDescent="0.2">
      <c r="AD459">
        <v>4540</v>
      </c>
      <c r="AE459" s="2">
        <v>0</v>
      </c>
    </row>
    <row r="460" spans="30:31" x14ac:dyDescent="0.2">
      <c r="AD460">
        <v>4550</v>
      </c>
      <c r="AE460" s="2">
        <v>1</v>
      </c>
    </row>
    <row r="461" spans="30:31" x14ac:dyDescent="0.2">
      <c r="AD461">
        <v>4560</v>
      </c>
      <c r="AE461" s="2">
        <v>0</v>
      </c>
    </row>
    <row r="462" spans="30:31" x14ac:dyDescent="0.2">
      <c r="AD462">
        <v>4570</v>
      </c>
      <c r="AE462" s="2">
        <v>1</v>
      </c>
    </row>
    <row r="463" spans="30:31" x14ac:dyDescent="0.2">
      <c r="AD463">
        <v>4580</v>
      </c>
      <c r="AE463" s="2">
        <v>0</v>
      </c>
    </row>
    <row r="464" spans="30:31" x14ac:dyDescent="0.2">
      <c r="AD464">
        <v>4590</v>
      </c>
      <c r="AE464" s="2">
        <v>0</v>
      </c>
    </row>
    <row r="465" spans="30:31" x14ac:dyDescent="0.2">
      <c r="AD465">
        <v>4600</v>
      </c>
      <c r="AE465" s="2">
        <v>0</v>
      </c>
    </row>
    <row r="466" spans="30:31" x14ac:dyDescent="0.2">
      <c r="AD466">
        <v>4610</v>
      </c>
      <c r="AE466" s="2">
        <v>0</v>
      </c>
    </row>
    <row r="467" spans="30:31" x14ac:dyDescent="0.2">
      <c r="AD467">
        <v>4620</v>
      </c>
      <c r="AE467" s="2">
        <v>0</v>
      </c>
    </row>
    <row r="468" spans="30:31" x14ac:dyDescent="0.2">
      <c r="AD468">
        <v>4630</v>
      </c>
      <c r="AE468" s="2">
        <v>0</v>
      </c>
    </row>
    <row r="469" spans="30:31" x14ac:dyDescent="0.2">
      <c r="AD469">
        <v>4640</v>
      </c>
      <c r="AE469" s="2">
        <v>0</v>
      </c>
    </row>
    <row r="470" spans="30:31" x14ac:dyDescent="0.2">
      <c r="AD470">
        <v>4650</v>
      </c>
      <c r="AE470" s="2">
        <v>0</v>
      </c>
    </row>
    <row r="471" spans="30:31" x14ac:dyDescent="0.2">
      <c r="AD471">
        <v>4660</v>
      </c>
      <c r="AE471" s="2">
        <v>0</v>
      </c>
    </row>
    <row r="472" spans="30:31" x14ac:dyDescent="0.2">
      <c r="AD472">
        <v>4670</v>
      </c>
      <c r="AE472" s="2">
        <v>0</v>
      </c>
    </row>
    <row r="473" spans="30:31" x14ac:dyDescent="0.2">
      <c r="AD473">
        <v>4680</v>
      </c>
      <c r="AE473" s="2">
        <v>0</v>
      </c>
    </row>
    <row r="474" spans="30:31" x14ac:dyDescent="0.2">
      <c r="AD474">
        <v>4690</v>
      </c>
      <c r="AE474" s="2">
        <v>0</v>
      </c>
    </row>
    <row r="475" spans="30:31" x14ac:dyDescent="0.2">
      <c r="AD475">
        <v>4700</v>
      </c>
      <c r="AE475" s="2">
        <v>0</v>
      </c>
    </row>
    <row r="476" spans="30:31" x14ac:dyDescent="0.2">
      <c r="AD476">
        <v>4710</v>
      </c>
      <c r="AE476" s="2">
        <v>0</v>
      </c>
    </row>
    <row r="477" spans="30:31" x14ac:dyDescent="0.2">
      <c r="AD477">
        <v>4720</v>
      </c>
      <c r="AE477" s="2">
        <v>1</v>
      </c>
    </row>
    <row r="478" spans="30:31" x14ac:dyDescent="0.2">
      <c r="AD478">
        <v>4730</v>
      </c>
      <c r="AE478" s="2">
        <v>0</v>
      </c>
    </row>
    <row r="479" spans="30:31" x14ac:dyDescent="0.2">
      <c r="AD479">
        <v>4740</v>
      </c>
      <c r="AE479" s="2">
        <v>0</v>
      </c>
    </row>
    <row r="480" spans="30:31" x14ac:dyDescent="0.2">
      <c r="AD480">
        <v>4750</v>
      </c>
      <c r="AE480" s="2">
        <v>0</v>
      </c>
    </row>
    <row r="481" spans="30:31" x14ac:dyDescent="0.2">
      <c r="AD481">
        <v>4760</v>
      </c>
      <c r="AE481" s="2">
        <v>0</v>
      </c>
    </row>
    <row r="482" spans="30:31" x14ac:dyDescent="0.2">
      <c r="AD482">
        <v>4770</v>
      </c>
      <c r="AE482" s="2">
        <v>0</v>
      </c>
    </row>
    <row r="483" spans="30:31" x14ac:dyDescent="0.2">
      <c r="AD483">
        <v>4780</v>
      </c>
      <c r="AE483" s="2">
        <v>0</v>
      </c>
    </row>
    <row r="484" spans="30:31" x14ac:dyDescent="0.2">
      <c r="AD484">
        <v>4790</v>
      </c>
      <c r="AE484" s="2">
        <v>0</v>
      </c>
    </row>
    <row r="485" spans="30:31" x14ac:dyDescent="0.2">
      <c r="AD485">
        <v>4800</v>
      </c>
      <c r="AE485" s="2">
        <v>0</v>
      </c>
    </row>
    <row r="486" spans="30:31" x14ac:dyDescent="0.2">
      <c r="AD486">
        <v>4810</v>
      </c>
      <c r="AE486" s="2">
        <v>1</v>
      </c>
    </row>
    <row r="487" spans="30:31" x14ac:dyDescent="0.2">
      <c r="AD487">
        <v>4820</v>
      </c>
      <c r="AE487" s="2">
        <v>0</v>
      </c>
    </row>
    <row r="488" spans="30:31" x14ac:dyDescent="0.2">
      <c r="AD488">
        <v>4830</v>
      </c>
      <c r="AE488" s="2">
        <v>0</v>
      </c>
    </row>
    <row r="489" spans="30:31" x14ac:dyDescent="0.2">
      <c r="AD489">
        <v>4840</v>
      </c>
      <c r="AE489" s="2">
        <v>0</v>
      </c>
    </row>
    <row r="490" spans="30:31" x14ac:dyDescent="0.2">
      <c r="AD490">
        <v>4850</v>
      </c>
      <c r="AE490" s="2">
        <v>0</v>
      </c>
    </row>
    <row r="491" spans="30:31" x14ac:dyDescent="0.2">
      <c r="AD491">
        <v>4860</v>
      </c>
      <c r="AE491" s="2">
        <v>0</v>
      </c>
    </row>
    <row r="492" spans="30:31" x14ac:dyDescent="0.2">
      <c r="AD492">
        <v>4870</v>
      </c>
      <c r="AE492" s="2">
        <v>0</v>
      </c>
    </row>
    <row r="493" spans="30:31" x14ac:dyDescent="0.2">
      <c r="AD493">
        <v>4880</v>
      </c>
      <c r="AE493" s="2">
        <v>0</v>
      </c>
    </row>
    <row r="494" spans="30:31" x14ac:dyDescent="0.2">
      <c r="AD494">
        <v>4890</v>
      </c>
      <c r="AE494" s="2">
        <v>0</v>
      </c>
    </row>
    <row r="495" spans="30:31" x14ac:dyDescent="0.2">
      <c r="AD495">
        <v>4900</v>
      </c>
      <c r="AE495" s="2">
        <v>0</v>
      </c>
    </row>
    <row r="496" spans="30:31" x14ac:dyDescent="0.2">
      <c r="AD496">
        <v>4910</v>
      </c>
      <c r="AE496" s="2">
        <v>0</v>
      </c>
    </row>
    <row r="497" spans="30:31" x14ac:dyDescent="0.2">
      <c r="AD497">
        <v>4920</v>
      </c>
      <c r="AE497" s="2">
        <v>0</v>
      </c>
    </row>
    <row r="498" spans="30:31" x14ac:dyDescent="0.2">
      <c r="AD498">
        <v>4930</v>
      </c>
      <c r="AE498" s="2">
        <v>0</v>
      </c>
    </row>
    <row r="499" spans="30:31" x14ac:dyDescent="0.2">
      <c r="AD499">
        <v>4940</v>
      </c>
      <c r="AE499" s="2">
        <v>0</v>
      </c>
    </row>
    <row r="500" spans="30:31" x14ac:dyDescent="0.2">
      <c r="AD500">
        <v>4950</v>
      </c>
      <c r="AE500" s="2">
        <v>0</v>
      </c>
    </row>
    <row r="501" spans="30:31" x14ac:dyDescent="0.2">
      <c r="AD501">
        <v>4960</v>
      </c>
      <c r="AE501" s="2">
        <v>1</v>
      </c>
    </row>
    <row r="502" spans="30:31" x14ac:dyDescent="0.2">
      <c r="AD502">
        <v>4970</v>
      </c>
      <c r="AE502" s="2">
        <v>0</v>
      </c>
    </row>
    <row r="503" spans="30:31" x14ac:dyDescent="0.2">
      <c r="AD503">
        <v>4980</v>
      </c>
      <c r="AE503" s="2">
        <v>0</v>
      </c>
    </row>
    <row r="504" spans="30:31" x14ac:dyDescent="0.2">
      <c r="AD504">
        <v>4990</v>
      </c>
      <c r="AE504" s="2">
        <v>0</v>
      </c>
    </row>
    <row r="505" spans="30:31" x14ac:dyDescent="0.2">
      <c r="AD505">
        <v>5000</v>
      </c>
      <c r="AE50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2024-02-27T09:22:59Z</dcterms:modified>
</cp:coreProperties>
</file>