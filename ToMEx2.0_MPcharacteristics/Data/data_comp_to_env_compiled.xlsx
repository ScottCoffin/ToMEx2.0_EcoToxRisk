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gdalenamair/Documents/Lena_Synology/RESEARCH_projects/PROJECT_ToMEx2.0Thresholds/ToMEx2.0_EcoToxRisk/ToMEx2.0_MPcharacteristics/Data/"/>
    </mc:Choice>
  </mc:AlternateContent>
  <xr:revisionPtr revIDLastSave="0" documentId="13_ncr:1_{90446355-46EC-DE44-82BC-612FB24EC399}" xr6:coauthVersionLast="47" xr6:coauthVersionMax="47" xr10:uidLastSave="{00000000-0000-0000-0000-000000000000}"/>
  <bookViews>
    <workbookView xWindow="47700" yWindow="-3520" windowWidth="28200" windowHeight="18480" xr2:uid="{920C4418-3524-6C49-9AC5-ACA05634A6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" i="1" l="1"/>
  <c r="L75" i="1"/>
  <c r="L73" i="1"/>
  <c r="L72" i="1"/>
  <c r="L71" i="1"/>
  <c r="L70" i="1"/>
  <c r="L69" i="1"/>
  <c r="L68" i="1"/>
  <c r="L67" i="1"/>
  <c r="L66" i="1"/>
  <c r="L65" i="1"/>
  <c r="L64" i="1"/>
  <c r="E89" i="1"/>
  <c r="E88" i="1"/>
  <c r="E87" i="1"/>
  <c r="M84" i="1"/>
  <c r="M83" i="1"/>
  <c r="J81" i="1"/>
  <c r="E81" i="1"/>
  <c r="E80" i="1"/>
  <c r="E77" i="1"/>
  <c r="E76" i="1"/>
  <c r="E75" i="1"/>
  <c r="E74" i="1"/>
  <c r="E73" i="1"/>
  <c r="E72" i="1"/>
  <c r="E71" i="1"/>
  <c r="E70" i="1"/>
  <c r="E69" i="1"/>
  <c r="E68" i="1"/>
  <c r="E67" i="1"/>
  <c r="E66" i="1"/>
  <c r="M64" i="1"/>
  <c r="O64" i="1" s="1"/>
  <c r="J64" i="1"/>
  <c r="G64" i="1"/>
  <c r="F64" i="1"/>
  <c r="H64" i="1"/>
</calcChain>
</file>

<file path=xl/sharedStrings.xml><?xml version="1.0" encoding="utf-8"?>
<sst xmlns="http://schemas.openxmlformats.org/spreadsheetml/2006/main" count="964" uniqueCount="155">
  <si>
    <t>ID</t>
  </si>
  <si>
    <t>fresh_marine_binary</t>
  </si>
  <si>
    <t>PP_prop</t>
  </si>
  <si>
    <t>PS_prop</t>
  </si>
  <si>
    <t>PA_prop</t>
  </si>
  <si>
    <t>PVC</t>
  </si>
  <si>
    <t>PTFE</t>
  </si>
  <si>
    <t>other</t>
  </si>
  <si>
    <t>fragments_prop</t>
  </si>
  <si>
    <t>spheres_prop</t>
  </si>
  <si>
    <t>fibers_prop</t>
  </si>
  <si>
    <t>length_mean_um</t>
  </si>
  <si>
    <t>length_median_um</t>
  </si>
  <si>
    <t>width_mean_um</t>
  </si>
  <si>
    <t>width_median_um</t>
  </si>
  <si>
    <t>denstiy_mean</t>
  </si>
  <si>
    <t>area_mean_um2</t>
  </si>
  <si>
    <t>ToMEx 2.0 freshwater</t>
  </si>
  <si>
    <t>ToMEx 2.0 marine</t>
  </si>
  <si>
    <t>freshwater</t>
  </si>
  <si>
    <t>marine</t>
  </si>
  <si>
    <t>Kooi et al. 2021, freshwater surface</t>
  </si>
  <si>
    <t>Kooi et al. 2021, marine surface</t>
  </si>
  <si>
    <t>Kooi et al. 2021, freshwater sediment</t>
  </si>
  <si>
    <t>Kooi et al. 2021, marine sediment</t>
  </si>
  <si>
    <t>Yakushev et al. 2021, Atlantic surface</t>
  </si>
  <si>
    <t>Yakushev et al. 2021, inner plume, surface</t>
  </si>
  <si>
    <t>Yakushev et al. 2021, outer plume, surface</t>
  </si>
  <si>
    <t>Yakushev et al. 2021, inner plume, subsurface</t>
  </si>
  <si>
    <t>Yakushev et al. 2021, outer plume, subsurface</t>
  </si>
  <si>
    <t>Yakushev et al. 2021, Atlantic subsurface</t>
  </si>
  <si>
    <t>Yakushev et al. 2021, polar subsurface</t>
  </si>
  <si>
    <t>NA</t>
  </si>
  <si>
    <t>comment</t>
  </si>
  <si>
    <t>width only reported for fragments, not fibers</t>
  </si>
  <si>
    <t>no lengths or widths reported</t>
  </si>
  <si>
    <t>PUR_prop</t>
  </si>
  <si>
    <t>PU and acrylates not separated in dataset: divided by 2; proportions of polymer types extracted from Fig. 3 via metaDigitise</t>
  </si>
  <si>
    <t>Reisser et al. 2014, 1</t>
  </si>
  <si>
    <t>Reisser et al. 2014, 2</t>
  </si>
  <si>
    <t>Reisser et al. 2014, 3</t>
  </si>
  <si>
    <t>Reisser et al. 2014, 4</t>
  </si>
  <si>
    <t>Reisser et al. 2014, 5</t>
  </si>
  <si>
    <t>Reisser et al. 2014, 6</t>
  </si>
  <si>
    <t>Reisser et al. 2014, 7</t>
  </si>
  <si>
    <t>doi</t>
  </si>
  <si>
    <t>ToMEx2.0</t>
  </si>
  <si>
    <t>sample.source</t>
  </si>
  <si>
    <t>10.1038/s43247-021-00091-0</t>
  </si>
  <si>
    <t>10.1016/j.watres.2021.117429</t>
  </si>
  <si>
    <t>10.1371/journal.pone.0080466</t>
  </si>
  <si>
    <t>10.5281/zenodo.10629004</t>
  </si>
  <si>
    <t>Soininen et al. 2023, S01</t>
  </si>
  <si>
    <t>Soininen et al. 2023, S02</t>
  </si>
  <si>
    <t>Soininen et al. 2023, S03</t>
  </si>
  <si>
    <t>Soininen et al. 2023, S04</t>
  </si>
  <si>
    <t>Soininen et al. 2023, S05</t>
  </si>
  <si>
    <t>Soininen et al. 2023, S06</t>
  </si>
  <si>
    <t>Soininen et al. 2023, S07</t>
  </si>
  <si>
    <t>Soininen et al. 2023, S08</t>
  </si>
  <si>
    <t>Soininen et al. 2023, S09</t>
  </si>
  <si>
    <t>Soininen et al. 2023, S10</t>
  </si>
  <si>
    <t>Soininen et al. 2023, S11</t>
  </si>
  <si>
    <t>Soininen et al. 2023, S12</t>
  </si>
  <si>
    <t>Soininen et al. 2023, S13</t>
  </si>
  <si>
    <t>Soininen et al. 2023, S14</t>
  </si>
  <si>
    <t>Soininen et al. 2023, S15</t>
  </si>
  <si>
    <t>Soininen et al. 2023, S16</t>
  </si>
  <si>
    <t>Soininen et al. 2023, S17</t>
  </si>
  <si>
    <t>Soininen et al. 2023, S18</t>
  </si>
  <si>
    <t>Soininen et al. 2023, S19</t>
  </si>
  <si>
    <t>Soininen et al. 2023, S20</t>
  </si>
  <si>
    <t>Soininen et al. 2023, S21</t>
  </si>
  <si>
    <t>Soininen et al. 2023, S22</t>
  </si>
  <si>
    <t>Soininen et al. 2023, S23</t>
  </si>
  <si>
    <t>Soininen et al. 2023, S24</t>
  </si>
  <si>
    <t>Soininen et al. 2023, S25</t>
  </si>
  <si>
    <t>10.5281/zenodo.4892875</t>
  </si>
  <si>
    <t>Uurasjaervi et al 2021, N1</t>
  </si>
  <si>
    <t>Uurasjaervi et al 2021, N2</t>
  </si>
  <si>
    <t>Uurasjaervi et al 2021, N3</t>
  </si>
  <si>
    <t>Uurasjaervi et al 2021, N5</t>
  </si>
  <si>
    <t>Uurasjaervi et al 2021, N6</t>
  </si>
  <si>
    <t>Uurasjaervi et al 2021, N7</t>
  </si>
  <si>
    <t>Uurasjaervi et al 2021, N8</t>
  </si>
  <si>
    <t>Uurasjaervi et al 2021, N9</t>
  </si>
  <si>
    <t>Uurasjaervi et al 2021, N10</t>
  </si>
  <si>
    <t>Uurasjaervi et al 2021, N11</t>
  </si>
  <si>
    <t>Uurasjaervi et al 2021, N12</t>
  </si>
  <si>
    <t>Uurasjaervi et al 2021, N13</t>
  </si>
  <si>
    <t>Uurasjaervi et al 2021, N14</t>
  </si>
  <si>
    <t>Uurasjaervi et al 2021, N15</t>
  </si>
  <si>
    <t>Uurasjaervi et al 2021, N16</t>
  </si>
  <si>
    <t>Uurasjaervi et al 2021, N17</t>
  </si>
  <si>
    <t>Uurasjaervi et al 2021, N18</t>
  </si>
  <si>
    <t>10.1038/s41598-019-51741-5</t>
  </si>
  <si>
    <t xml:space="preserve">particle length taken as mean of smallest size range 20-50µm; This size range was reported as most frequent in the main text; proportions of shapes and polymer types taken from Figure 4 B (for 1 core sample). </t>
  </si>
  <si>
    <t>Frei et al. 2019; freshwater sediment</t>
  </si>
  <si>
    <t> 10.1016/j.marpolbul.2022.113534 </t>
  </si>
  <si>
    <t>Devereux et al 2020, 191229</t>
  </si>
  <si>
    <t>Devereux et al 2020, 191230</t>
  </si>
  <si>
    <t>Devereux et al 2020, 191231</t>
  </si>
  <si>
    <t>Devereux et al 2020, 200101</t>
  </si>
  <si>
    <t>Devereux et al 2020, 200102</t>
  </si>
  <si>
    <t>Devereux et al 2020, 200103</t>
  </si>
  <si>
    <t>Devereux et al 2020, 200104</t>
  </si>
  <si>
    <t>Devereux et al 2020, 200105</t>
  </si>
  <si>
    <t>Devereux et al 2020, 200123</t>
  </si>
  <si>
    <t>extracted from Figure 4 with metaDigitise</t>
  </si>
  <si>
    <t>PE_PET_Polyester</t>
  </si>
  <si>
    <t>10.1016/j.scitotenv.2022.155141</t>
  </si>
  <si>
    <t>Rolf et al. 2022, transect 1, 0-5cm</t>
  </si>
  <si>
    <t>Rolf et al. 2022, transect 2, 0-5cm</t>
  </si>
  <si>
    <t>Rolf et al. 2022, transect 3, 0-5cm</t>
  </si>
  <si>
    <t>Rolf et al. 2022, transect 1, 5-20 cm</t>
  </si>
  <si>
    <t>Rolf et al. 2022, transect 2, 5-20 cm</t>
  </si>
  <si>
    <t>Rolf et al. 2022, transect 3, 5-20 cm</t>
  </si>
  <si>
    <t>calculated from raw data</t>
  </si>
  <si>
    <t>Mani et al. 2016</t>
  </si>
  <si>
    <t>10.1038/srep17988</t>
  </si>
  <si>
    <t>extracted from Figure S1</t>
  </si>
  <si>
    <t>10.1021/acs.est.9b04896</t>
  </si>
  <si>
    <t>Corcoran et al. 2020</t>
  </si>
  <si>
    <t>extracted from Fig. 4</t>
  </si>
  <si>
    <t>Li et al. 2020</t>
  </si>
  <si>
    <t>10.1016/j.scitotenv.2021.145591</t>
  </si>
  <si>
    <t>extracted from Fig.3 and Fig.8; block, foam and film considered as fragments</t>
  </si>
  <si>
    <t>Soltani et al. 2022, surface, urban</t>
  </si>
  <si>
    <t>Soltani et al. 2022, surface, industrial</t>
  </si>
  <si>
    <t>Soltani et al. 2022, surface, agricultural</t>
  </si>
  <si>
    <t>Soltani et al. 2022, surface, natural</t>
  </si>
  <si>
    <t>Soltani et al. 2022, sediment, urban</t>
  </si>
  <si>
    <t>Soltani et al. 2022, sediment, industrial</t>
  </si>
  <si>
    <t>Soltani et al. 2022, sediment, agricultural</t>
  </si>
  <si>
    <t>Soltani et al. 2022, sediment, natural</t>
  </si>
  <si>
    <t>10.1016/j.scitotenv.2022.154728</t>
  </si>
  <si>
    <t>extracted from Fig. 6, Fig. S1 and Fig. S3; film considered as fragments</t>
  </si>
  <si>
    <t>0.045</t>
  </si>
  <si>
    <t>0.599</t>
  </si>
  <si>
    <t>0.285</t>
  </si>
  <si>
    <t>0.004</t>
  </si>
  <si>
    <t>0.892</t>
  </si>
  <si>
    <t>0.075</t>
  </si>
  <si>
    <t>1</t>
  </si>
  <si>
    <t>1.065</t>
  </si>
  <si>
    <t>64.1</t>
  </si>
  <si>
    <t>20.8</t>
  </si>
  <si>
    <t>36.6</t>
  </si>
  <si>
    <t>2</t>
  </si>
  <si>
    <t>28.8</t>
  </si>
  <si>
    <t>8.5</t>
  </si>
  <si>
    <t>0.2</t>
  </si>
  <si>
    <t>51943</t>
  </si>
  <si>
    <t>35924</t>
  </si>
  <si>
    <t>1.063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</si>
</sst>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49" fontId="3" fillId="0" borderId="0" xfId="0" applyNumberFormat="1" applyFont="1"/>
    <xf numFmtId="49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5BA3-42EE-AE4F-8AF0-D722E3833B33}">
  <dimension ref="A1:V90"/>
  <sheetViews>
    <sheetView tabSelected="1" zoomScale="130" zoomScaleNormal="130" workbookViewId="0">
      <pane xSplit="3" ySplit="1" topLeftCell="N2" activePane="bottomRight" state="frozen"/>
      <selection pane="topRight" activeCell="C1" sqref="C1"/>
      <selection pane="bottomLeft" activeCell="A2" sqref="A2"/>
      <selection pane="bottomRight" activeCell="T4" sqref="T4"/>
    </sheetView>
  </sheetViews>
  <sheetFormatPr baseColWidth="10" defaultRowHeight="14" x14ac:dyDescent="0.15"/>
  <cols>
    <col min="1" max="2" width="10.83203125" style="1"/>
    <col min="3" max="3" width="19" style="1" customWidth="1"/>
    <col min="4" max="4" width="16" style="1" bestFit="1" customWidth="1"/>
    <col min="5" max="5" width="16.83203125" style="1" bestFit="1" customWidth="1"/>
    <col min="6" max="6" width="8.1640625" style="1" bestFit="1" customWidth="1"/>
    <col min="7" max="15" width="10.83203125" style="1"/>
    <col min="16" max="16" width="14.1640625" style="1" bestFit="1" customWidth="1"/>
    <col min="17" max="17" width="15.5" style="1" bestFit="1" customWidth="1"/>
    <col min="18" max="18" width="13.5" style="1" bestFit="1" customWidth="1"/>
    <col min="19" max="19" width="14.83203125" style="1" bestFit="1" customWidth="1"/>
    <col min="20" max="20" width="10.83203125" style="1"/>
    <col min="21" max="21" width="13.5" style="1" bestFit="1" customWidth="1"/>
    <col min="22" max="16384" width="10.83203125" style="1"/>
  </cols>
  <sheetData>
    <row r="1" spans="1:22" x14ac:dyDescent="0.15">
      <c r="A1" s="1" t="s">
        <v>0</v>
      </c>
      <c r="B1" s="1" t="s">
        <v>45</v>
      </c>
      <c r="C1" s="1" t="s">
        <v>47</v>
      </c>
      <c r="D1" s="1" t="s">
        <v>1</v>
      </c>
      <c r="E1" s="1" t="s">
        <v>109</v>
      </c>
      <c r="F1" s="1" t="s">
        <v>2</v>
      </c>
      <c r="G1" s="1" t="s">
        <v>3</v>
      </c>
      <c r="H1" s="1" t="s">
        <v>4</v>
      </c>
      <c r="I1" s="1" t="s">
        <v>36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33</v>
      </c>
    </row>
    <row r="2" spans="1:22" ht="16" x14ac:dyDescent="0.2">
      <c r="A2" s="1">
        <v>1</v>
      </c>
      <c r="B2" s="3" t="s">
        <v>46</v>
      </c>
      <c r="C2" s="3" t="s">
        <v>17</v>
      </c>
      <c r="D2" s="3" t="s">
        <v>19</v>
      </c>
      <c r="E2" s="5">
        <v>0.35899999999999999</v>
      </c>
      <c r="F2" s="5">
        <v>1.2E-2</v>
      </c>
      <c r="G2" s="5">
        <v>0.438</v>
      </c>
      <c r="H2" s="5">
        <v>2.3E-2</v>
      </c>
      <c r="I2" s="5">
        <v>8.0000000000000002E-3</v>
      </c>
      <c r="J2" s="5">
        <v>1.2E-2</v>
      </c>
      <c r="K2" s="5">
        <v>0</v>
      </c>
      <c r="L2" s="5">
        <v>0.14899999999999999</v>
      </c>
      <c r="M2" s="5" t="s">
        <v>139</v>
      </c>
      <c r="N2" s="5" t="s">
        <v>138</v>
      </c>
      <c r="O2" s="5" t="s">
        <v>137</v>
      </c>
      <c r="P2" s="5" t="s">
        <v>145</v>
      </c>
      <c r="Q2" s="5" t="s">
        <v>146</v>
      </c>
      <c r="R2" s="5" t="s">
        <v>147</v>
      </c>
      <c r="S2" s="5" t="s">
        <v>148</v>
      </c>
      <c r="T2" s="5" t="s">
        <v>144</v>
      </c>
      <c r="U2" s="5" t="s">
        <v>152</v>
      </c>
      <c r="V2" s="4"/>
    </row>
    <row r="3" spans="1:22" ht="16" x14ac:dyDescent="0.2">
      <c r="A3" s="1">
        <v>2</v>
      </c>
      <c r="B3" s="3" t="s">
        <v>46</v>
      </c>
      <c r="C3" s="3" t="s">
        <v>18</v>
      </c>
      <c r="D3" s="3" t="s">
        <v>20</v>
      </c>
      <c r="E3" s="5">
        <v>0.13700000000000001</v>
      </c>
      <c r="F3" s="5">
        <v>0</v>
      </c>
      <c r="G3" s="5">
        <v>0.82699999999999996</v>
      </c>
      <c r="H3" s="5">
        <v>0</v>
      </c>
      <c r="I3" s="5">
        <v>0</v>
      </c>
      <c r="J3" s="5">
        <v>2.1999999999999999E-2</v>
      </c>
      <c r="K3" s="5">
        <v>0</v>
      </c>
      <c r="L3" s="5">
        <v>1.2999999999999999E-2</v>
      </c>
      <c r="M3" s="5" t="s">
        <v>142</v>
      </c>
      <c r="N3" s="5" t="s">
        <v>141</v>
      </c>
      <c r="O3" s="5" t="s">
        <v>140</v>
      </c>
      <c r="P3" s="5" t="s">
        <v>149</v>
      </c>
      <c r="Q3" s="5" t="s">
        <v>143</v>
      </c>
      <c r="R3" s="5" t="s">
        <v>150</v>
      </c>
      <c r="S3" s="5" t="s">
        <v>151</v>
      </c>
      <c r="T3" s="5" t="s">
        <v>154</v>
      </c>
      <c r="U3" s="5" t="s">
        <v>153</v>
      </c>
      <c r="V3" s="4"/>
    </row>
    <row r="4" spans="1:22" x14ac:dyDescent="0.15">
      <c r="A4" s="1">
        <v>3</v>
      </c>
      <c r="B4" s="2" t="s">
        <v>49</v>
      </c>
      <c r="C4" s="1" t="s">
        <v>21</v>
      </c>
      <c r="D4" s="1" t="s">
        <v>19</v>
      </c>
      <c r="E4" s="6">
        <v>0.31900000000000001</v>
      </c>
      <c r="F4" s="6">
        <v>0.129</v>
      </c>
      <c r="G4" s="6" t="s">
        <v>32</v>
      </c>
      <c r="H4" s="6">
        <v>8.6999999999999994E-2</v>
      </c>
      <c r="I4" s="6">
        <v>3.0000000000000001E-3</v>
      </c>
      <c r="J4" s="6">
        <v>0</v>
      </c>
      <c r="K4" s="6" t="s">
        <v>32</v>
      </c>
      <c r="L4" s="6">
        <v>0.40900000000000003</v>
      </c>
      <c r="M4" s="6" t="s">
        <v>32</v>
      </c>
      <c r="N4" s="6" t="s">
        <v>32</v>
      </c>
      <c r="O4" s="6" t="s">
        <v>32</v>
      </c>
      <c r="P4" s="6">
        <v>91.17</v>
      </c>
      <c r="Q4" s="6">
        <v>42.43</v>
      </c>
      <c r="R4" s="6">
        <v>44.95</v>
      </c>
      <c r="S4" s="6">
        <v>20</v>
      </c>
      <c r="T4" s="6">
        <v>1.04</v>
      </c>
      <c r="U4" s="6">
        <v>45300</v>
      </c>
      <c r="V4" s="1" t="s">
        <v>37</v>
      </c>
    </row>
    <row r="5" spans="1:22" x14ac:dyDescent="0.15">
      <c r="A5" s="1">
        <v>4</v>
      </c>
      <c r="B5" s="2" t="s">
        <v>49</v>
      </c>
      <c r="C5" s="1" t="s">
        <v>22</v>
      </c>
      <c r="D5" s="1" t="s">
        <v>20</v>
      </c>
      <c r="E5" s="6">
        <v>0.25</v>
      </c>
      <c r="F5" s="6">
        <v>0.11600000000000001</v>
      </c>
      <c r="G5" s="6" t="s">
        <v>32</v>
      </c>
      <c r="H5" s="6">
        <v>0.314</v>
      </c>
      <c r="I5" s="6">
        <v>5.3999999999999999E-2</v>
      </c>
      <c r="J5" s="6">
        <v>1.7999999999999999E-2</v>
      </c>
      <c r="K5" s="6" t="s">
        <v>32</v>
      </c>
      <c r="L5" s="6">
        <v>0.36</v>
      </c>
      <c r="M5" s="6" t="s">
        <v>32</v>
      </c>
      <c r="N5" s="6" t="s">
        <v>32</v>
      </c>
      <c r="O5" s="6" t="s">
        <v>32</v>
      </c>
      <c r="P5" s="6">
        <v>45.64</v>
      </c>
      <c r="Q5" s="6">
        <v>11.14</v>
      </c>
      <c r="R5" s="6">
        <v>25.04</v>
      </c>
      <c r="S5" s="6">
        <v>11.03</v>
      </c>
      <c r="T5" s="6">
        <v>1.1000000000000001</v>
      </c>
      <c r="U5" s="6">
        <v>48300</v>
      </c>
      <c r="V5" s="1" t="s">
        <v>37</v>
      </c>
    </row>
    <row r="6" spans="1:22" x14ac:dyDescent="0.15">
      <c r="A6" s="1">
        <v>5</v>
      </c>
      <c r="B6" s="2" t="s">
        <v>49</v>
      </c>
      <c r="C6" s="1" t="s">
        <v>23</v>
      </c>
      <c r="D6" s="1" t="s">
        <v>19</v>
      </c>
      <c r="E6" s="6">
        <v>0.1</v>
      </c>
      <c r="F6" s="6">
        <v>5.3999999999999999E-2</v>
      </c>
      <c r="G6" s="6" t="s">
        <v>32</v>
      </c>
      <c r="H6" s="6">
        <v>0</v>
      </c>
      <c r="I6" s="6">
        <v>0.32400000000000001</v>
      </c>
      <c r="J6" s="6">
        <v>7.4999999999999997E-2</v>
      </c>
      <c r="K6" s="6" t="s">
        <v>32</v>
      </c>
      <c r="L6" s="6">
        <v>1.101</v>
      </c>
      <c r="M6" s="6" t="s">
        <v>32</v>
      </c>
      <c r="N6" s="6" t="s">
        <v>32</v>
      </c>
      <c r="O6" s="6" t="s">
        <v>32</v>
      </c>
      <c r="P6" s="6">
        <v>64.25</v>
      </c>
      <c r="Q6" s="6">
        <v>20</v>
      </c>
      <c r="R6" s="6">
        <v>28.08</v>
      </c>
      <c r="S6" s="6">
        <v>20</v>
      </c>
      <c r="T6" s="6">
        <v>1.1499999999999999</v>
      </c>
      <c r="U6" s="6">
        <v>11500</v>
      </c>
      <c r="V6" s="1" t="s">
        <v>37</v>
      </c>
    </row>
    <row r="7" spans="1:22" x14ac:dyDescent="0.15">
      <c r="A7" s="1">
        <v>6</v>
      </c>
      <c r="B7" s="2" t="s">
        <v>49</v>
      </c>
      <c r="C7" s="1" t="s">
        <v>24</v>
      </c>
      <c r="D7" s="1" t="s">
        <v>20</v>
      </c>
      <c r="E7" s="6">
        <v>0.20100000000000001</v>
      </c>
      <c r="F7" s="6">
        <v>0.1</v>
      </c>
      <c r="G7" s="6" t="s">
        <v>32</v>
      </c>
      <c r="H7" s="6">
        <v>0.10299999999999999</v>
      </c>
      <c r="I7" s="6">
        <v>5.7000000000000002E-2</v>
      </c>
      <c r="J7" s="6">
        <v>0.108</v>
      </c>
      <c r="K7" s="6" t="s">
        <v>32</v>
      </c>
      <c r="L7" s="6">
        <v>0.54700000000000004</v>
      </c>
      <c r="M7" s="6" t="s">
        <v>32</v>
      </c>
      <c r="N7" s="6" t="s">
        <v>32</v>
      </c>
      <c r="O7" s="6" t="s">
        <v>32</v>
      </c>
      <c r="P7" s="6">
        <v>34.69</v>
      </c>
      <c r="Q7" s="6">
        <v>11.14</v>
      </c>
      <c r="R7" s="6">
        <v>17.59</v>
      </c>
      <c r="S7" s="6">
        <v>11.14</v>
      </c>
      <c r="T7" s="6">
        <v>1.1599999999999999</v>
      </c>
      <c r="U7" s="6">
        <v>3520</v>
      </c>
      <c r="V7" s="1" t="s">
        <v>37</v>
      </c>
    </row>
    <row r="8" spans="1:22" x14ac:dyDescent="0.15">
      <c r="A8" s="1">
        <v>7</v>
      </c>
      <c r="B8" s="1" t="s">
        <v>48</v>
      </c>
      <c r="C8" s="1" t="s">
        <v>26</v>
      </c>
      <c r="D8" s="1" t="s">
        <v>20</v>
      </c>
      <c r="E8" s="6">
        <v>0.66700000000000004</v>
      </c>
      <c r="F8" s="6">
        <v>0.16700000000000001</v>
      </c>
      <c r="G8" s="6">
        <v>0</v>
      </c>
      <c r="H8" s="6">
        <v>0.16700000000000001</v>
      </c>
      <c r="I8" s="6">
        <v>0</v>
      </c>
      <c r="J8" s="6">
        <v>0</v>
      </c>
      <c r="K8" s="6">
        <v>0</v>
      </c>
      <c r="L8" s="6">
        <v>0</v>
      </c>
      <c r="M8" s="6">
        <v>0.33</v>
      </c>
      <c r="N8" s="6">
        <v>0</v>
      </c>
      <c r="O8" s="6">
        <v>0.67</v>
      </c>
      <c r="P8" s="6" t="s">
        <v>32</v>
      </c>
      <c r="Q8" s="6" t="s">
        <v>32</v>
      </c>
      <c r="R8" s="6" t="s">
        <v>32</v>
      </c>
      <c r="S8" s="6" t="s">
        <v>32</v>
      </c>
      <c r="T8" s="6" t="s">
        <v>32</v>
      </c>
      <c r="U8" s="6">
        <v>1320000</v>
      </c>
      <c r="V8" s="1" t="s">
        <v>35</v>
      </c>
    </row>
    <row r="9" spans="1:22" x14ac:dyDescent="0.15">
      <c r="A9" s="1">
        <v>8</v>
      </c>
      <c r="B9" s="1" t="s">
        <v>48</v>
      </c>
      <c r="C9" s="1" t="s">
        <v>27</v>
      </c>
      <c r="D9" s="1" t="s">
        <v>20</v>
      </c>
      <c r="E9" s="6">
        <v>0.375</v>
      </c>
      <c r="F9" s="6">
        <v>0</v>
      </c>
      <c r="G9" s="6">
        <v>0</v>
      </c>
      <c r="H9" s="6">
        <v>0.125</v>
      </c>
      <c r="I9" s="6">
        <v>0.29199999999999998</v>
      </c>
      <c r="J9" s="6">
        <v>0.20799999999999999</v>
      </c>
      <c r="K9" s="6">
        <v>0</v>
      </c>
      <c r="L9" s="6">
        <v>0</v>
      </c>
      <c r="M9" s="6">
        <v>0.875</v>
      </c>
      <c r="N9" s="6">
        <v>0</v>
      </c>
      <c r="O9" s="6">
        <v>0.125</v>
      </c>
      <c r="P9" s="6" t="s">
        <v>32</v>
      </c>
      <c r="Q9" s="6" t="s">
        <v>32</v>
      </c>
      <c r="R9" s="6" t="s">
        <v>32</v>
      </c>
      <c r="S9" s="6" t="s">
        <v>32</v>
      </c>
      <c r="T9" s="6" t="s">
        <v>32</v>
      </c>
      <c r="U9" s="6">
        <v>2170000</v>
      </c>
      <c r="V9" s="1" t="s">
        <v>35</v>
      </c>
    </row>
    <row r="10" spans="1:22" x14ac:dyDescent="0.15">
      <c r="A10" s="1">
        <v>9</v>
      </c>
      <c r="B10" s="1" t="s">
        <v>48</v>
      </c>
      <c r="C10" s="1" t="s">
        <v>25</v>
      </c>
      <c r="D10" s="1" t="s">
        <v>20</v>
      </c>
      <c r="E10" s="6">
        <v>0.72699999999999998</v>
      </c>
      <c r="F10" s="6">
        <v>0</v>
      </c>
      <c r="G10" s="6">
        <v>0.182</v>
      </c>
      <c r="H10" s="6">
        <v>0</v>
      </c>
      <c r="I10" s="6">
        <v>0</v>
      </c>
      <c r="J10" s="6">
        <v>9.0999999999999998E-2</v>
      </c>
      <c r="K10" s="6">
        <v>0</v>
      </c>
      <c r="L10" s="6">
        <v>0</v>
      </c>
      <c r="M10" s="6">
        <v>0.91</v>
      </c>
      <c r="N10" s="6">
        <v>0</v>
      </c>
      <c r="O10" s="6">
        <v>0.09</v>
      </c>
      <c r="P10" s="6" t="s">
        <v>32</v>
      </c>
      <c r="Q10" s="6" t="s">
        <v>32</v>
      </c>
      <c r="R10" s="6" t="s">
        <v>32</v>
      </c>
      <c r="S10" s="6" t="s">
        <v>32</v>
      </c>
      <c r="T10" s="6" t="s">
        <v>32</v>
      </c>
      <c r="U10" s="6">
        <v>6140000</v>
      </c>
      <c r="V10" s="1" t="s">
        <v>35</v>
      </c>
    </row>
    <row r="11" spans="1:22" x14ac:dyDescent="0.15">
      <c r="A11" s="1">
        <v>7</v>
      </c>
      <c r="B11" s="1" t="s">
        <v>48</v>
      </c>
      <c r="C11" s="1" t="s">
        <v>28</v>
      </c>
      <c r="D11" s="1" t="s">
        <v>20</v>
      </c>
      <c r="E11" s="6">
        <v>0.57099999999999995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1.2869999999999999</v>
      </c>
      <c r="M11" s="6">
        <v>0</v>
      </c>
      <c r="N11" s="6">
        <v>0</v>
      </c>
      <c r="O11" s="6">
        <v>1</v>
      </c>
      <c r="P11" s="6">
        <v>1297</v>
      </c>
      <c r="Q11" s="6">
        <v>636</v>
      </c>
      <c r="R11" s="6" t="s">
        <v>32</v>
      </c>
      <c r="S11" s="6" t="s">
        <v>32</v>
      </c>
      <c r="T11" s="6">
        <v>1.3</v>
      </c>
      <c r="U11" s="6">
        <v>19461</v>
      </c>
      <c r="V11" s="1" t="s">
        <v>34</v>
      </c>
    </row>
    <row r="12" spans="1:22" x14ac:dyDescent="0.15">
      <c r="A12" s="1">
        <v>8</v>
      </c>
      <c r="B12" s="1" t="s">
        <v>48</v>
      </c>
      <c r="C12" s="1" t="s">
        <v>29</v>
      </c>
      <c r="D12" s="1" t="s">
        <v>20</v>
      </c>
      <c r="E12" s="6">
        <v>0.41699999999999998</v>
      </c>
      <c r="F12" s="6">
        <v>8.3000000000000004E-2</v>
      </c>
      <c r="G12" s="6">
        <v>5.6000000000000001E-2</v>
      </c>
      <c r="H12" s="6">
        <v>5.6000000000000001E-2</v>
      </c>
      <c r="I12" s="6">
        <v>0</v>
      </c>
      <c r="J12" s="6">
        <v>0</v>
      </c>
      <c r="K12" s="6">
        <v>2.8000000000000001E-2</v>
      </c>
      <c r="L12" s="6">
        <v>0.91700000000000004</v>
      </c>
      <c r="M12" s="6">
        <v>0.25</v>
      </c>
      <c r="N12" s="6">
        <v>0</v>
      </c>
      <c r="O12" s="6">
        <v>0.75</v>
      </c>
      <c r="P12" s="6">
        <v>662</v>
      </c>
      <c r="Q12" s="6">
        <v>436</v>
      </c>
      <c r="R12" s="6">
        <v>136</v>
      </c>
      <c r="S12" s="6">
        <v>121</v>
      </c>
      <c r="T12" s="6">
        <v>1.25</v>
      </c>
      <c r="U12" s="6">
        <v>23816</v>
      </c>
      <c r="V12" s="1" t="s">
        <v>34</v>
      </c>
    </row>
    <row r="13" spans="1:22" x14ac:dyDescent="0.15">
      <c r="A13" s="1">
        <v>9</v>
      </c>
      <c r="B13" s="1" t="s">
        <v>48</v>
      </c>
      <c r="C13" s="1" t="s">
        <v>30</v>
      </c>
      <c r="D13" s="1" t="s">
        <v>20</v>
      </c>
      <c r="E13" s="6">
        <v>0.5</v>
      </c>
      <c r="F13" s="6">
        <v>4.2000000000000003E-2</v>
      </c>
      <c r="G13" s="6">
        <v>4.2000000000000003E-2</v>
      </c>
      <c r="H13" s="6">
        <v>4.2000000000000003E-2</v>
      </c>
      <c r="I13" s="6">
        <v>8.3000000000000004E-2</v>
      </c>
      <c r="J13" s="6">
        <v>8.3000000000000004E-2</v>
      </c>
      <c r="K13" s="6">
        <v>4.2000000000000003E-2</v>
      </c>
      <c r="L13" s="6">
        <v>0.41700000000000004</v>
      </c>
      <c r="M13" s="6">
        <v>0.54</v>
      </c>
      <c r="N13" s="6">
        <v>0</v>
      </c>
      <c r="O13" s="6">
        <v>0.46</v>
      </c>
      <c r="P13" s="6">
        <v>708</v>
      </c>
      <c r="Q13" s="6">
        <v>422</v>
      </c>
      <c r="R13" s="6">
        <v>185</v>
      </c>
      <c r="S13" s="6">
        <v>121</v>
      </c>
      <c r="T13" s="6">
        <v>1.28</v>
      </c>
      <c r="U13" s="6">
        <v>83125</v>
      </c>
      <c r="V13" s="1" t="s">
        <v>34</v>
      </c>
    </row>
    <row r="14" spans="1:22" x14ac:dyDescent="0.15">
      <c r="A14" s="1">
        <v>10</v>
      </c>
      <c r="B14" s="1" t="s">
        <v>48</v>
      </c>
      <c r="C14" s="1" t="s">
        <v>31</v>
      </c>
      <c r="D14" s="1" t="s">
        <v>20</v>
      </c>
      <c r="E14" s="6">
        <v>0.432</v>
      </c>
      <c r="F14" s="6">
        <v>5.3999999999999999E-2</v>
      </c>
      <c r="G14" s="6">
        <v>8.1000000000000003E-2</v>
      </c>
      <c r="H14" s="6">
        <v>2.7E-2</v>
      </c>
      <c r="I14" s="6">
        <v>2.7E-2</v>
      </c>
      <c r="J14" s="6">
        <v>0</v>
      </c>
      <c r="K14" s="6">
        <v>0.108</v>
      </c>
      <c r="L14" s="6">
        <v>0.43200000000000005</v>
      </c>
      <c r="M14" s="6">
        <v>0.51</v>
      </c>
      <c r="N14" s="6">
        <v>0</v>
      </c>
      <c r="O14" s="6">
        <v>0.49</v>
      </c>
      <c r="P14" s="6">
        <v>696</v>
      </c>
      <c r="Q14" s="6">
        <v>481</v>
      </c>
      <c r="R14" s="6">
        <v>162</v>
      </c>
      <c r="S14" s="6">
        <v>142</v>
      </c>
      <c r="T14" s="6">
        <v>1.33</v>
      </c>
      <c r="U14" s="6">
        <v>37829</v>
      </c>
      <c r="V14" s="1" t="s">
        <v>34</v>
      </c>
    </row>
    <row r="15" spans="1:22" x14ac:dyDescent="0.15">
      <c r="A15" s="1">
        <v>11</v>
      </c>
      <c r="B15" s="1" t="s">
        <v>50</v>
      </c>
      <c r="C15" s="1" t="s">
        <v>38</v>
      </c>
      <c r="D15" s="1" t="s">
        <v>20</v>
      </c>
      <c r="E15" s="6">
        <v>0.2</v>
      </c>
      <c r="F15" s="6">
        <v>0</v>
      </c>
      <c r="G15" s="6" t="s">
        <v>32</v>
      </c>
      <c r="H15" s="6" t="s">
        <v>32</v>
      </c>
      <c r="I15" s="6" t="s">
        <v>32</v>
      </c>
      <c r="J15" s="6" t="s">
        <v>32</v>
      </c>
      <c r="K15" s="6" t="s">
        <v>32</v>
      </c>
      <c r="L15" s="6">
        <v>0.8</v>
      </c>
      <c r="M15" s="6" t="s">
        <v>32</v>
      </c>
      <c r="N15" s="6" t="s">
        <v>32</v>
      </c>
      <c r="O15" s="6" t="s">
        <v>32</v>
      </c>
      <c r="P15" s="6">
        <v>2533</v>
      </c>
      <c r="Q15" s="6">
        <v>2500</v>
      </c>
      <c r="R15" s="6" t="s">
        <v>32</v>
      </c>
      <c r="S15" s="6" t="s">
        <v>32</v>
      </c>
      <c r="T15" s="6" t="s">
        <v>32</v>
      </c>
      <c r="U15" s="6" t="s">
        <v>32</v>
      </c>
    </row>
    <row r="16" spans="1:22" x14ac:dyDescent="0.15">
      <c r="A16" s="1">
        <v>12</v>
      </c>
      <c r="B16" s="1" t="s">
        <v>50</v>
      </c>
      <c r="C16" s="1" t="s">
        <v>39</v>
      </c>
      <c r="D16" s="1" t="s">
        <v>20</v>
      </c>
      <c r="E16" s="6">
        <v>0.23</v>
      </c>
      <c r="F16" s="6">
        <v>0.02</v>
      </c>
      <c r="G16" s="6" t="s">
        <v>32</v>
      </c>
      <c r="H16" s="6" t="s">
        <v>32</v>
      </c>
      <c r="I16" s="6" t="s">
        <v>32</v>
      </c>
      <c r="J16" s="6" t="s">
        <v>32</v>
      </c>
      <c r="K16" s="6" t="s">
        <v>32</v>
      </c>
      <c r="L16" s="6">
        <v>0.75</v>
      </c>
      <c r="M16" s="6" t="s">
        <v>32</v>
      </c>
      <c r="N16" s="6" t="s">
        <v>32</v>
      </c>
      <c r="O16" s="6" t="s">
        <v>32</v>
      </c>
      <c r="P16" s="6">
        <v>3215</v>
      </c>
      <c r="Q16" s="6">
        <v>3300</v>
      </c>
      <c r="R16" s="6" t="s">
        <v>32</v>
      </c>
      <c r="S16" s="6" t="s">
        <v>32</v>
      </c>
      <c r="T16" s="6" t="s">
        <v>32</v>
      </c>
      <c r="U16" s="6" t="s">
        <v>32</v>
      </c>
    </row>
    <row r="17" spans="1:21" x14ac:dyDescent="0.15">
      <c r="A17" s="1">
        <v>13</v>
      </c>
      <c r="B17" s="1" t="s">
        <v>50</v>
      </c>
      <c r="C17" s="1" t="s">
        <v>40</v>
      </c>
      <c r="D17" s="1" t="s">
        <v>20</v>
      </c>
      <c r="E17" s="6">
        <v>0.21</v>
      </c>
      <c r="F17" s="6">
        <v>0.05</v>
      </c>
      <c r="G17" s="6" t="s">
        <v>32</v>
      </c>
      <c r="H17" s="6" t="s">
        <v>32</v>
      </c>
      <c r="I17" s="6" t="s">
        <v>32</v>
      </c>
      <c r="J17" s="6" t="s">
        <v>32</v>
      </c>
      <c r="K17" s="6" t="s">
        <v>32</v>
      </c>
      <c r="L17" s="6">
        <v>0.74</v>
      </c>
      <c r="M17" s="6" t="s">
        <v>32</v>
      </c>
      <c r="N17" s="6" t="s">
        <v>32</v>
      </c>
      <c r="O17" s="6" t="s">
        <v>32</v>
      </c>
      <c r="P17" s="6">
        <v>2338</v>
      </c>
      <c r="Q17" s="6">
        <v>21240</v>
      </c>
      <c r="R17" s="6" t="s">
        <v>32</v>
      </c>
      <c r="S17" s="6" t="s">
        <v>32</v>
      </c>
      <c r="T17" s="6" t="s">
        <v>32</v>
      </c>
      <c r="U17" s="6" t="s">
        <v>32</v>
      </c>
    </row>
    <row r="18" spans="1:21" x14ac:dyDescent="0.15">
      <c r="A18" s="1">
        <v>14</v>
      </c>
      <c r="B18" s="1" t="s">
        <v>50</v>
      </c>
      <c r="C18" s="1" t="s">
        <v>41</v>
      </c>
      <c r="D18" s="1" t="s">
        <v>20</v>
      </c>
      <c r="E18" s="6">
        <v>0.25</v>
      </c>
      <c r="F18" s="6">
        <v>0.1</v>
      </c>
      <c r="G18" s="6" t="s">
        <v>32</v>
      </c>
      <c r="H18" s="6" t="s">
        <v>32</v>
      </c>
      <c r="I18" s="6" t="s">
        <v>32</v>
      </c>
      <c r="J18" s="6" t="s">
        <v>32</v>
      </c>
      <c r="K18" s="6" t="s">
        <v>32</v>
      </c>
      <c r="L18" s="6">
        <v>0.65</v>
      </c>
      <c r="M18" s="6" t="s">
        <v>32</v>
      </c>
      <c r="N18" s="6" t="s">
        <v>32</v>
      </c>
      <c r="O18" s="6" t="s">
        <v>32</v>
      </c>
      <c r="P18" s="6">
        <v>2573</v>
      </c>
      <c r="Q18" s="6">
        <v>2500</v>
      </c>
      <c r="R18" s="6" t="s">
        <v>32</v>
      </c>
      <c r="S18" s="6" t="s">
        <v>32</v>
      </c>
      <c r="T18" s="6" t="s">
        <v>32</v>
      </c>
      <c r="U18" s="6" t="s">
        <v>32</v>
      </c>
    </row>
    <row r="19" spans="1:21" x14ac:dyDescent="0.15">
      <c r="A19" s="1">
        <v>15</v>
      </c>
      <c r="B19" s="1" t="s">
        <v>50</v>
      </c>
      <c r="C19" s="1" t="s">
        <v>42</v>
      </c>
      <c r="D19" s="1" t="s">
        <v>20</v>
      </c>
      <c r="E19" s="6">
        <v>0.12</v>
      </c>
      <c r="F19" s="6">
        <v>0.08</v>
      </c>
      <c r="G19" s="6" t="s">
        <v>32</v>
      </c>
      <c r="H19" s="6" t="s">
        <v>32</v>
      </c>
      <c r="I19" s="6" t="s">
        <v>32</v>
      </c>
      <c r="J19" s="6" t="s">
        <v>32</v>
      </c>
      <c r="K19" s="6" t="s">
        <v>32</v>
      </c>
      <c r="L19" s="6">
        <v>0.82</v>
      </c>
      <c r="M19" s="6" t="s">
        <v>32</v>
      </c>
      <c r="N19" s="6" t="s">
        <v>32</v>
      </c>
      <c r="O19" s="6" t="s">
        <v>32</v>
      </c>
      <c r="P19" s="6">
        <v>2577</v>
      </c>
      <c r="Q19" s="6">
        <v>2500</v>
      </c>
      <c r="R19" s="6" t="s">
        <v>32</v>
      </c>
      <c r="S19" s="6" t="s">
        <v>32</v>
      </c>
      <c r="T19" s="6" t="s">
        <v>32</v>
      </c>
      <c r="U19" s="6" t="s">
        <v>32</v>
      </c>
    </row>
    <row r="20" spans="1:21" x14ac:dyDescent="0.15">
      <c r="A20" s="1">
        <v>16</v>
      </c>
      <c r="B20" s="1" t="s">
        <v>50</v>
      </c>
      <c r="C20" s="1" t="s">
        <v>43</v>
      </c>
      <c r="D20" s="1" t="s">
        <v>20</v>
      </c>
      <c r="E20" s="6">
        <v>0.14000000000000001</v>
      </c>
      <c r="F20" s="6">
        <v>7.0000000000000007E-2</v>
      </c>
      <c r="G20" s="6" t="s">
        <v>32</v>
      </c>
      <c r="H20" s="6" t="s">
        <v>32</v>
      </c>
      <c r="I20" s="6" t="s">
        <v>32</v>
      </c>
      <c r="J20" s="6" t="s">
        <v>32</v>
      </c>
      <c r="K20" s="6" t="s">
        <v>32</v>
      </c>
      <c r="L20" s="6">
        <v>0.79</v>
      </c>
      <c r="M20" s="6" t="s">
        <v>32</v>
      </c>
      <c r="N20" s="6" t="s">
        <v>32</v>
      </c>
      <c r="O20" s="6" t="s">
        <v>32</v>
      </c>
      <c r="P20" s="6">
        <v>2196</v>
      </c>
      <c r="Q20" s="6">
        <v>2000</v>
      </c>
      <c r="R20" s="6" t="s">
        <v>32</v>
      </c>
      <c r="S20" s="6" t="s">
        <v>32</v>
      </c>
      <c r="T20" s="6" t="s">
        <v>32</v>
      </c>
      <c r="U20" s="6" t="s">
        <v>32</v>
      </c>
    </row>
    <row r="21" spans="1:21" x14ac:dyDescent="0.15">
      <c r="A21" s="1">
        <v>17</v>
      </c>
      <c r="B21" s="1" t="s">
        <v>50</v>
      </c>
      <c r="C21" s="1" t="s">
        <v>44</v>
      </c>
      <c r="D21" s="1" t="s">
        <v>20</v>
      </c>
      <c r="E21" s="6">
        <v>0.1</v>
      </c>
      <c r="F21" s="6">
        <v>0.12</v>
      </c>
      <c r="G21" s="6" t="s">
        <v>32</v>
      </c>
      <c r="H21" s="6" t="s">
        <v>32</v>
      </c>
      <c r="I21" s="6" t="s">
        <v>32</v>
      </c>
      <c r="J21" s="6" t="s">
        <v>32</v>
      </c>
      <c r="K21" s="6" t="s">
        <v>32</v>
      </c>
      <c r="L21" s="6">
        <v>0.78</v>
      </c>
      <c r="M21" s="6" t="s">
        <v>32</v>
      </c>
      <c r="N21" s="6" t="s">
        <v>32</v>
      </c>
      <c r="O21" s="6" t="s">
        <v>32</v>
      </c>
      <c r="P21" s="6">
        <v>2280</v>
      </c>
      <c r="Q21" s="6">
        <v>2170</v>
      </c>
      <c r="R21" s="6" t="s">
        <v>32</v>
      </c>
      <c r="S21" s="6" t="s">
        <v>32</v>
      </c>
      <c r="T21" s="6" t="s">
        <v>32</v>
      </c>
      <c r="U21" s="6" t="s">
        <v>32</v>
      </c>
    </row>
    <row r="22" spans="1:21" x14ac:dyDescent="0.15">
      <c r="A22" s="1">
        <v>18</v>
      </c>
      <c r="B22" s="2" t="s">
        <v>51</v>
      </c>
      <c r="C22" s="1" t="s">
        <v>52</v>
      </c>
      <c r="D22" s="1" t="s">
        <v>19</v>
      </c>
      <c r="E22" s="6">
        <v>1</v>
      </c>
      <c r="F22" s="6">
        <v>0</v>
      </c>
      <c r="G22" s="6">
        <v>0</v>
      </c>
      <c r="H22" s="6">
        <v>0</v>
      </c>
      <c r="I22" s="6" t="s">
        <v>32</v>
      </c>
      <c r="J22" s="6" t="s">
        <v>32</v>
      </c>
      <c r="K22" s="6" t="s">
        <v>32</v>
      </c>
      <c r="L22" s="6">
        <v>0</v>
      </c>
      <c r="M22" s="6" t="s">
        <v>32</v>
      </c>
      <c r="N22" s="6" t="s">
        <v>32</v>
      </c>
      <c r="O22" s="6" t="s">
        <v>32</v>
      </c>
      <c r="P22" s="6">
        <v>98.8</v>
      </c>
      <c r="Q22" s="6">
        <v>83.2</v>
      </c>
      <c r="R22" s="6">
        <v>47.5</v>
      </c>
      <c r="S22" s="6">
        <v>30.1</v>
      </c>
      <c r="T22" s="6" t="s">
        <v>32</v>
      </c>
      <c r="U22" s="6" t="s">
        <v>32</v>
      </c>
    </row>
    <row r="23" spans="1:21" x14ac:dyDescent="0.15">
      <c r="A23" s="1">
        <v>19</v>
      </c>
      <c r="B23" s="2" t="s">
        <v>51</v>
      </c>
      <c r="C23" s="1" t="s">
        <v>53</v>
      </c>
      <c r="D23" s="1" t="s">
        <v>19</v>
      </c>
      <c r="E23" s="6">
        <v>0.42</v>
      </c>
      <c r="F23" s="6">
        <v>0.47</v>
      </c>
      <c r="G23" s="6">
        <v>0.04</v>
      </c>
      <c r="H23" s="6">
        <v>0</v>
      </c>
      <c r="I23" s="6" t="s">
        <v>32</v>
      </c>
      <c r="J23" s="6" t="s">
        <v>32</v>
      </c>
      <c r="K23" s="6" t="s">
        <v>32</v>
      </c>
      <c r="L23" s="6">
        <v>7.0000000000000007E-2</v>
      </c>
      <c r="M23" s="6" t="s">
        <v>32</v>
      </c>
      <c r="N23" s="6" t="s">
        <v>32</v>
      </c>
      <c r="O23" s="6" t="s">
        <v>32</v>
      </c>
      <c r="P23" s="6">
        <v>78.400000000000006</v>
      </c>
      <c r="Q23" s="6">
        <v>61.6</v>
      </c>
      <c r="R23" s="6">
        <v>33.1</v>
      </c>
      <c r="S23" s="6">
        <v>28</v>
      </c>
      <c r="T23" s="6" t="s">
        <v>32</v>
      </c>
      <c r="U23" s="6" t="s">
        <v>32</v>
      </c>
    </row>
    <row r="24" spans="1:21" x14ac:dyDescent="0.15">
      <c r="A24" s="1">
        <v>20</v>
      </c>
      <c r="B24" s="2" t="s">
        <v>51</v>
      </c>
      <c r="C24" s="1" t="s">
        <v>54</v>
      </c>
      <c r="D24" s="1" t="s">
        <v>19</v>
      </c>
      <c r="E24" s="6">
        <v>0.55000000000000004</v>
      </c>
      <c r="F24" s="6">
        <v>0.36</v>
      </c>
      <c r="G24" s="6">
        <v>0.09</v>
      </c>
      <c r="H24" s="6">
        <v>0</v>
      </c>
      <c r="I24" s="6" t="s">
        <v>32</v>
      </c>
      <c r="J24" s="6" t="s">
        <v>32</v>
      </c>
      <c r="K24" s="6" t="s">
        <v>32</v>
      </c>
      <c r="L24" s="6">
        <v>0</v>
      </c>
      <c r="M24" s="6" t="s">
        <v>32</v>
      </c>
      <c r="N24" s="6" t="s">
        <v>32</v>
      </c>
      <c r="O24" s="6" t="s">
        <v>32</v>
      </c>
      <c r="P24" s="6">
        <v>132</v>
      </c>
      <c r="Q24" s="6">
        <v>134.5</v>
      </c>
      <c r="R24" s="6">
        <v>58</v>
      </c>
      <c r="S24" s="6">
        <v>60.3</v>
      </c>
      <c r="T24" s="6" t="s">
        <v>32</v>
      </c>
      <c r="U24" s="6" t="s">
        <v>32</v>
      </c>
    </row>
    <row r="25" spans="1:21" x14ac:dyDescent="0.15">
      <c r="A25" s="1">
        <v>21</v>
      </c>
      <c r="B25" s="2" t="s">
        <v>51</v>
      </c>
      <c r="C25" s="1" t="s">
        <v>55</v>
      </c>
      <c r="D25" s="1" t="s">
        <v>19</v>
      </c>
      <c r="E25" s="6">
        <v>0.33</v>
      </c>
      <c r="F25" s="6">
        <v>0.33</v>
      </c>
      <c r="G25" s="6">
        <v>7.0000000000000007E-2</v>
      </c>
      <c r="H25" s="6">
        <v>0</v>
      </c>
      <c r="I25" s="6" t="s">
        <v>32</v>
      </c>
      <c r="J25" s="6" t="s">
        <v>32</v>
      </c>
      <c r="K25" s="6" t="s">
        <v>32</v>
      </c>
      <c r="L25" s="6">
        <v>7.0000000000000007E-2</v>
      </c>
      <c r="M25" s="6" t="s">
        <v>32</v>
      </c>
      <c r="N25" s="6" t="s">
        <v>32</v>
      </c>
      <c r="O25" s="6" t="s">
        <v>32</v>
      </c>
      <c r="P25" s="6">
        <v>119.2</v>
      </c>
      <c r="Q25" s="6">
        <v>79.599999999999994</v>
      </c>
      <c r="R25" s="6">
        <v>43.5</v>
      </c>
      <c r="S25" s="6">
        <v>31.4</v>
      </c>
      <c r="T25" s="6" t="s">
        <v>32</v>
      </c>
      <c r="U25" s="6" t="s">
        <v>32</v>
      </c>
    </row>
    <row r="26" spans="1:21" x14ac:dyDescent="0.15">
      <c r="A26" s="1">
        <v>22</v>
      </c>
      <c r="B26" s="2" t="s">
        <v>51</v>
      </c>
      <c r="C26" s="1" t="s">
        <v>56</v>
      </c>
      <c r="D26" s="1" t="s">
        <v>19</v>
      </c>
      <c r="E26" s="6">
        <v>0.12</v>
      </c>
      <c r="F26" s="6">
        <v>0.83</v>
      </c>
      <c r="G26" s="6">
        <v>0.04</v>
      </c>
      <c r="H26" s="6">
        <v>0</v>
      </c>
      <c r="I26" s="6" t="s">
        <v>32</v>
      </c>
      <c r="J26" s="6" t="s">
        <v>32</v>
      </c>
      <c r="K26" s="6" t="s">
        <v>32</v>
      </c>
      <c r="L26" s="6">
        <v>0</v>
      </c>
      <c r="M26" s="6" t="s">
        <v>32</v>
      </c>
      <c r="N26" s="6" t="s">
        <v>32</v>
      </c>
      <c r="O26" s="6" t="s">
        <v>32</v>
      </c>
      <c r="P26" s="6">
        <v>87.2</v>
      </c>
      <c r="Q26" s="6">
        <v>62.6</v>
      </c>
      <c r="R26" s="6">
        <v>39.1</v>
      </c>
      <c r="S26" s="6">
        <v>32.6</v>
      </c>
      <c r="T26" s="6" t="s">
        <v>32</v>
      </c>
      <c r="U26" s="6" t="s">
        <v>32</v>
      </c>
    </row>
    <row r="27" spans="1:21" x14ac:dyDescent="0.15">
      <c r="A27" s="1">
        <v>23</v>
      </c>
      <c r="B27" s="2" t="s">
        <v>51</v>
      </c>
      <c r="C27" s="1" t="s">
        <v>57</v>
      </c>
      <c r="D27" s="1" t="s">
        <v>19</v>
      </c>
      <c r="E27" s="6">
        <v>0.21000000000000002</v>
      </c>
      <c r="F27" s="6">
        <v>0.67</v>
      </c>
      <c r="G27" s="6">
        <v>0.04</v>
      </c>
      <c r="H27" s="6">
        <v>0</v>
      </c>
      <c r="I27" s="6" t="s">
        <v>32</v>
      </c>
      <c r="J27" s="6" t="s">
        <v>32</v>
      </c>
      <c r="K27" s="6" t="s">
        <v>32</v>
      </c>
      <c r="L27" s="6">
        <v>0.08</v>
      </c>
      <c r="M27" s="6" t="s">
        <v>32</v>
      </c>
      <c r="N27" s="6" t="s">
        <v>32</v>
      </c>
      <c r="O27" s="6" t="s">
        <v>32</v>
      </c>
      <c r="P27" s="6">
        <v>103.3</v>
      </c>
      <c r="Q27" s="6">
        <v>93.3</v>
      </c>
      <c r="R27" s="6">
        <v>46.4</v>
      </c>
      <c r="S27" s="6">
        <v>41.3</v>
      </c>
      <c r="T27" s="6" t="s">
        <v>32</v>
      </c>
      <c r="U27" s="6" t="s">
        <v>32</v>
      </c>
    </row>
    <row r="28" spans="1:21" x14ac:dyDescent="0.15">
      <c r="A28" s="1">
        <v>24</v>
      </c>
      <c r="B28" s="2" t="s">
        <v>51</v>
      </c>
      <c r="C28" s="1" t="s">
        <v>58</v>
      </c>
      <c r="D28" s="1" t="s">
        <v>19</v>
      </c>
      <c r="E28" s="6">
        <v>0.49</v>
      </c>
      <c r="F28" s="6">
        <v>0.51</v>
      </c>
      <c r="G28" s="6">
        <v>0</v>
      </c>
      <c r="H28" s="6">
        <v>0</v>
      </c>
      <c r="I28" s="6" t="s">
        <v>32</v>
      </c>
      <c r="J28" s="6" t="s">
        <v>32</v>
      </c>
      <c r="K28" s="6" t="s">
        <v>32</v>
      </c>
      <c r="L28" s="6">
        <v>0</v>
      </c>
      <c r="M28" s="6" t="s">
        <v>32</v>
      </c>
      <c r="N28" s="6" t="s">
        <v>32</v>
      </c>
      <c r="O28" s="6" t="s">
        <v>32</v>
      </c>
      <c r="P28" s="6">
        <v>116.7</v>
      </c>
      <c r="Q28" s="6">
        <v>95.8</v>
      </c>
      <c r="R28" s="6">
        <v>50.5</v>
      </c>
      <c r="S28" s="6">
        <v>44.4</v>
      </c>
      <c r="T28" s="6" t="s">
        <v>32</v>
      </c>
      <c r="U28" s="6" t="s">
        <v>32</v>
      </c>
    </row>
    <row r="29" spans="1:21" x14ac:dyDescent="0.15">
      <c r="A29" s="1">
        <v>25</v>
      </c>
      <c r="B29" s="2" t="s">
        <v>51</v>
      </c>
      <c r="C29" s="1" t="s">
        <v>59</v>
      </c>
      <c r="D29" s="1" t="s">
        <v>19</v>
      </c>
      <c r="E29" s="6">
        <v>0.56000000000000005</v>
      </c>
      <c r="F29" s="6">
        <v>0.39</v>
      </c>
      <c r="G29" s="6">
        <v>0</v>
      </c>
      <c r="H29" s="6">
        <v>0</v>
      </c>
      <c r="I29" s="6" t="s">
        <v>32</v>
      </c>
      <c r="J29" s="6" t="s">
        <v>32</v>
      </c>
      <c r="K29" s="6" t="s">
        <v>32</v>
      </c>
      <c r="L29" s="6">
        <v>0.06</v>
      </c>
      <c r="M29" s="6" t="s">
        <v>32</v>
      </c>
      <c r="N29" s="6" t="s">
        <v>32</v>
      </c>
      <c r="O29" s="6" t="s">
        <v>32</v>
      </c>
      <c r="P29" s="6">
        <v>115.4</v>
      </c>
      <c r="Q29" s="6">
        <v>94.25</v>
      </c>
      <c r="R29" s="6">
        <v>46.69</v>
      </c>
      <c r="S29" s="6">
        <v>35.700000000000003</v>
      </c>
      <c r="T29" s="6" t="s">
        <v>32</v>
      </c>
      <c r="U29" s="6" t="s">
        <v>32</v>
      </c>
    </row>
    <row r="30" spans="1:21" x14ac:dyDescent="0.15">
      <c r="A30" s="1">
        <v>26</v>
      </c>
      <c r="B30" s="2" t="s">
        <v>51</v>
      </c>
      <c r="C30" s="1" t="s">
        <v>60</v>
      </c>
      <c r="D30" s="1" t="s">
        <v>19</v>
      </c>
      <c r="E30" s="6">
        <v>0.24</v>
      </c>
      <c r="F30" s="6">
        <v>0.68</v>
      </c>
      <c r="G30" s="6">
        <v>0.05</v>
      </c>
      <c r="H30" s="6">
        <v>0</v>
      </c>
      <c r="I30" s="6" t="s">
        <v>32</v>
      </c>
      <c r="J30" s="6" t="s">
        <v>32</v>
      </c>
      <c r="K30" s="6" t="s">
        <v>32</v>
      </c>
      <c r="L30" s="6">
        <v>0.03</v>
      </c>
      <c r="M30" s="6" t="s">
        <v>32</v>
      </c>
      <c r="N30" s="6" t="s">
        <v>32</v>
      </c>
      <c r="O30" s="6" t="s">
        <v>32</v>
      </c>
      <c r="P30" s="6">
        <v>89.2</v>
      </c>
      <c r="Q30" s="6">
        <v>55.5</v>
      </c>
      <c r="R30" s="6">
        <v>39.299999999999997</v>
      </c>
      <c r="S30" s="6">
        <v>34.200000000000003</v>
      </c>
      <c r="T30" s="6" t="s">
        <v>32</v>
      </c>
      <c r="U30" s="6" t="s">
        <v>32</v>
      </c>
    </row>
    <row r="31" spans="1:21" x14ac:dyDescent="0.15">
      <c r="A31" s="1">
        <v>27</v>
      </c>
      <c r="B31" s="2" t="s">
        <v>51</v>
      </c>
      <c r="C31" s="1" t="s">
        <v>61</v>
      </c>
      <c r="D31" s="1" t="s">
        <v>19</v>
      </c>
      <c r="E31" s="6">
        <v>0.22</v>
      </c>
      <c r="F31" s="6">
        <v>0.67</v>
      </c>
      <c r="G31" s="6">
        <v>0.11</v>
      </c>
      <c r="H31" s="6">
        <v>0</v>
      </c>
      <c r="I31" s="6" t="s">
        <v>32</v>
      </c>
      <c r="J31" s="6" t="s">
        <v>32</v>
      </c>
      <c r="K31" s="6" t="s">
        <v>32</v>
      </c>
      <c r="L31" s="6">
        <v>0</v>
      </c>
      <c r="M31" s="6" t="s">
        <v>32</v>
      </c>
      <c r="N31" s="6" t="s">
        <v>32</v>
      </c>
      <c r="O31" s="6" t="s">
        <v>32</v>
      </c>
      <c r="P31" s="6">
        <v>87.1</v>
      </c>
      <c r="Q31" s="6">
        <v>74.099999999999994</v>
      </c>
      <c r="R31" s="6">
        <v>31.6</v>
      </c>
      <c r="S31" s="6">
        <v>35.700000000000003</v>
      </c>
      <c r="T31" s="6" t="s">
        <v>32</v>
      </c>
      <c r="U31" s="6" t="s">
        <v>32</v>
      </c>
    </row>
    <row r="32" spans="1:21" x14ac:dyDescent="0.15">
      <c r="A32" s="1">
        <v>28</v>
      </c>
      <c r="B32" s="2" t="s">
        <v>51</v>
      </c>
      <c r="C32" s="1" t="s">
        <v>62</v>
      </c>
      <c r="D32" s="1" t="s">
        <v>19</v>
      </c>
      <c r="E32" s="6">
        <v>0.14000000000000001</v>
      </c>
      <c r="F32" s="6">
        <v>0.79</v>
      </c>
      <c r="G32" s="6">
        <v>0.04</v>
      </c>
      <c r="H32" s="6">
        <v>0.04</v>
      </c>
      <c r="I32" s="6" t="s">
        <v>32</v>
      </c>
      <c r="J32" s="6" t="s">
        <v>32</v>
      </c>
      <c r="K32" s="6" t="s">
        <v>32</v>
      </c>
      <c r="L32" s="6">
        <v>0</v>
      </c>
      <c r="M32" s="6" t="s">
        <v>32</v>
      </c>
      <c r="N32" s="6" t="s">
        <v>32</v>
      </c>
      <c r="O32" s="6" t="s">
        <v>32</v>
      </c>
      <c r="P32" s="6">
        <v>95.9</v>
      </c>
      <c r="Q32" s="6">
        <v>56.1</v>
      </c>
      <c r="R32" s="6">
        <v>35.299999999999997</v>
      </c>
      <c r="S32" s="6">
        <v>28.8</v>
      </c>
      <c r="T32" s="6" t="s">
        <v>32</v>
      </c>
      <c r="U32" s="6" t="s">
        <v>32</v>
      </c>
    </row>
    <row r="33" spans="1:21" x14ac:dyDescent="0.15">
      <c r="A33" s="1">
        <v>29</v>
      </c>
      <c r="B33" s="2" t="s">
        <v>51</v>
      </c>
      <c r="C33" s="1" t="s">
        <v>63</v>
      </c>
      <c r="D33" s="1" t="s">
        <v>19</v>
      </c>
      <c r="E33" s="6">
        <v>0.19</v>
      </c>
      <c r="F33" s="6">
        <v>0.62</v>
      </c>
      <c r="G33" s="6">
        <v>0.14000000000000001</v>
      </c>
      <c r="H33" s="6">
        <v>0</v>
      </c>
      <c r="I33" s="6" t="s">
        <v>32</v>
      </c>
      <c r="J33" s="6" t="s">
        <v>32</v>
      </c>
      <c r="K33" s="6" t="s">
        <v>32</v>
      </c>
      <c r="L33" s="6">
        <v>0.05</v>
      </c>
      <c r="M33" s="6" t="s">
        <v>32</v>
      </c>
      <c r="N33" s="6" t="s">
        <v>32</v>
      </c>
      <c r="O33" s="6" t="s">
        <v>32</v>
      </c>
      <c r="P33" s="6">
        <v>117.3</v>
      </c>
      <c r="Q33" s="6">
        <v>88.5</v>
      </c>
      <c r="R33" s="6">
        <v>42.6</v>
      </c>
      <c r="S33" s="6">
        <v>38.799999999999997</v>
      </c>
      <c r="T33" s="6" t="s">
        <v>32</v>
      </c>
      <c r="U33" s="6" t="s">
        <v>32</v>
      </c>
    </row>
    <row r="34" spans="1:21" x14ac:dyDescent="0.15">
      <c r="A34" s="1">
        <v>30</v>
      </c>
      <c r="B34" s="2" t="s">
        <v>51</v>
      </c>
      <c r="C34" s="1" t="s">
        <v>64</v>
      </c>
      <c r="D34" s="1" t="s">
        <v>19</v>
      </c>
      <c r="E34" s="6">
        <v>0.24000000000000002</v>
      </c>
      <c r="F34" s="6">
        <v>0.52</v>
      </c>
      <c r="G34" s="6">
        <v>0.05</v>
      </c>
      <c r="H34" s="6">
        <v>0</v>
      </c>
      <c r="I34" s="6" t="s">
        <v>32</v>
      </c>
      <c r="J34" s="6" t="s">
        <v>32</v>
      </c>
      <c r="K34" s="6" t="s">
        <v>32</v>
      </c>
      <c r="L34" s="6">
        <v>0.19</v>
      </c>
      <c r="M34" s="6" t="s">
        <v>32</v>
      </c>
      <c r="N34" s="6" t="s">
        <v>32</v>
      </c>
      <c r="O34" s="6" t="s">
        <v>32</v>
      </c>
      <c r="P34" s="6">
        <v>89.3</v>
      </c>
      <c r="Q34" s="6">
        <v>66.099999999999994</v>
      </c>
      <c r="R34" s="6">
        <v>39.4</v>
      </c>
      <c r="S34" s="6">
        <v>34.4</v>
      </c>
      <c r="T34" s="6" t="s">
        <v>32</v>
      </c>
      <c r="U34" s="6" t="s">
        <v>32</v>
      </c>
    </row>
    <row r="35" spans="1:21" x14ac:dyDescent="0.15">
      <c r="A35" s="1">
        <v>31</v>
      </c>
      <c r="B35" s="2" t="s">
        <v>51</v>
      </c>
      <c r="C35" s="1" t="s">
        <v>65</v>
      </c>
      <c r="D35" s="1" t="s">
        <v>19</v>
      </c>
      <c r="E35" s="6">
        <v>0.16999999999999998</v>
      </c>
      <c r="F35" s="6">
        <v>0.8</v>
      </c>
      <c r="G35" s="6">
        <v>0.02</v>
      </c>
      <c r="H35" s="6">
        <v>0</v>
      </c>
      <c r="I35" s="6" t="s">
        <v>32</v>
      </c>
      <c r="J35" s="6" t="s">
        <v>32</v>
      </c>
      <c r="K35" s="6" t="s">
        <v>32</v>
      </c>
      <c r="L35" s="6">
        <v>0</v>
      </c>
      <c r="M35" s="6" t="s">
        <v>32</v>
      </c>
      <c r="N35" s="6" t="s">
        <v>32</v>
      </c>
      <c r="O35" s="6" t="s">
        <v>32</v>
      </c>
      <c r="P35" s="6">
        <v>121.8</v>
      </c>
      <c r="Q35" s="6">
        <v>105.9</v>
      </c>
      <c r="R35" s="6">
        <v>48.1</v>
      </c>
      <c r="S35" s="6">
        <v>44.1</v>
      </c>
      <c r="T35" s="6" t="s">
        <v>32</v>
      </c>
      <c r="U35" s="6" t="s">
        <v>32</v>
      </c>
    </row>
    <row r="36" spans="1:21" x14ac:dyDescent="0.15">
      <c r="A36" s="1">
        <v>32</v>
      </c>
      <c r="B36" s="2" t="s">
        <v>51</v>
      </c>
      <c r="C36" s="1" t="s">
        <v>66</v>
      </c>
      <c r="D36" s="1" t="s">
        <v>19</v>
      </c>
      <c r="E36" s="6">
        <v>0.19</v>
      </c>
      <c r="F36" s="6">
        <v>0.73</v>
      </c>
      <c r="G36" s="6">
        <v>0</v>
      </c>
      <c r="H36" s="6">
        <v>0.03</v>
      </c>
      <c r="I36" s="6" t="s">
        <v>32</v>
      </c>
      <c r="J36" s="6" t="s">
        <v>32</v>
      </c>
      <c r="K36" s="6" t="s">
        <v>32</v>
      </c>
      <c r="L36" s="6">
        <v>0.05</v>
      </c>
      <c r="M36" s="6" t="s">
        <v>32</v>
      </c>
      <c r="N36" s="6" t="s">
        <v>32</v>
      </c>
      <c r="O36" s="6" t="s">
        <v>32</v>
      </c>
      <c r="P36" s="6">
        <v>118.7</v>
      </c>
      <c r="Q36" s="6">
        <v>103.1</v>
      </c>
      <c r="R36" s="6">
        <v>48</v>
      </c>
      <c r="S36" s="6">
        <v>38.5</v>
      </c>
      <c r="T36" s="6" t="s">
        <v>32</v>
      </c>
      <c r="U36" s="6" t="s">
        <v>32</v>
      </c>
    </row>
    <row r="37" spans="1:21" x14ac:dyDescent="0.15">
      <c r="A37" s="1">
        <v>33</v>
      </c>
      <c r="B37" s="2" t="s">
        <v>51</v>
      </c>
      <c r="C37" s="1" t="s">
        <v>67</v>
      </c>
      <c r="D37" s="1" t="s">
        <v>19</v>
      </c>
      <c r="E37" s="6">
        <v>0.11</v>
      </c>
      <c r="F37" s="6">
        <v>0.33</v>
      </c>
      <c r="G37" s="6">
        <v>0.56000000000000005</v>
      </c>
      <c r="H37" s="6">
        <v>0</v>
      </c>
      <c r="I37" s="6" t="s">
        <v>32</v>
      </c>
      <c r="J37" s="6" t="s">
        <v>32</v>
      </c>
      <c r="K37" s="6" t="s">
        <v>32</v>
      </c>
      <c r="L37" s="6">
        <v>0</v>
      </c>
      <c r="M37" s="6" t="s">
        <v>32</v>
      </c>
      <c r="N37" s="6" t="s">
        <v>32</v>
      </c>
      <c r="O37" s="6" t="s">
        <v>32</v>
      </c>
      <c r="P37" s="6">
        <v>57.2</v>
      </c>
      <c r="Q37" s="6">
        <v>44.2</v>
      </c>
      <c r="R37" s="6">
        <v>28.5</v>
      </c>
      <c r="S37" s="6">
        <v>25.3</v>
      </c>
      <c r="T37" s="6" t="s">
        <v>32</v>
      </c>
      <c r="U37" s="6" t="s">
        <v>32</v>
      </c>
    </row>
    <row r="38" spans="1:21" x14ac:dyDescent="0.15">
      <c r="A38" s="1">
        <v>34</v>
      </c>
      <c r="B38" s="2" t="s">
        <v>51</v>
      </c>
      <c r="C38" s="1" t="s">
        <v>68</v>
      </c>
      <c r="D38" s="1" t="s">
        <v>20</v>
      </c>
      <c r="E38" s="6">
        <v>0.33</v>
      </c>
      <c r="F38" s="6">
        <v>0.53</v>
      </c>
      <c r="G38" s="6">
        <v>0</v>
      </c>
      <c r="H38" s="6">
        <v>0</v>
      </c>
      <c r="I38" s="6" t="s">
        <v>32</v>
      </c>
      <c r="J38" s="6" t="s">
        <v>32</v>
      </c>
      <c r="K38" s="6" t="s">
        <v>32</v>
      </c>
      <c r="L38" s="6">
        <v>0.13</v>
      </c>
      <c r="M38" s="6" t="s">
        <v>32</v>
      </c>
      <c r="N38" s="6" t="s">
        <v>32</v>
      </c>
      <c r="O38" s="6" t="s">
        <v>32</v>
      </c>
      <c r="P38" s="6">
        <v>117.8</v>
      </c>
      <c r="Q38" s="6">
        <v>96.8</v>
      </c>
      <c r="R38" s="6">
        <v>57.1</v>
      </c>
      <c r="S38" s="6">
        <v>56.7</v>
      </c>
      <c r="T38" s="6" t="s">
        <v>32</v>
      </c>
      <c r="U38" s="6" t="s">
        <v>32</v>
      </c>
    </row>
    <row r="39" spans="1:21" x14ac:dyDescent="0.15">
      <c r="A39" s="1">
        <v>35</v>
      </c>
      <c r="B39" s="2" t="s">
        <v>51</v>
      </c>
      <c r="C39" s="1" t="s">
        <v>69</v>
      </c>
      <c r="D39" s="1" t="s">
        <v>20</v>
      </c>
      <c r="E39" s="6">
        <v>0.62</v>
      </c>
      <c r="F39" s="6">
        <v>0.38</v>
      </c>
      <c r="G39" s="6">
        <v>0</v>
      </c>
      <c r="H39" s="6">
        <v>0</v>
      </c>
      <c r="I39" s="6" t="s">
        <v>32</v>
      </c>
      <c r="J39" s="6" t="s">
        <v>32</v>
      </c>
      <c r="K39" s="6" t="s">
        <v>32</v>
      </c>
      <c r="L39" s="6">
        <v>0</v>
      </c>
      <c r="M39" s="6" t="s">
        <v>32</v>
      </c>
      <c r="N39" s="6" t="s">
        <v>32</v>
      </c>
      <c r="O39" s="6" t="s">
        <v>32</v>
      </c>
      <c r="P39" s="6">
        <v>118.4</v>
      </c>
      <c r="Q39" s="6">
        <v>105.7</v>
      </c>
      <c r="R39" s="6">
        <v>51.1</v>
      </c>
      <c r="S39" s="6">
        <v>47.4</v>
      </c>
      <c r="T39" s="6" t="s">
        <v>32</v>
      </c>
      <c r="U39" s="6" t="s">
        <v>32</v>
      </c>
    </row>
    <row r="40" spans="1:21" x14ac:dyDescent="0.15">
      <c r="A40" s="1">
        <v>36</v>
      </c>
      <c r="B40" s="2" t="s">
        <v>51</v>
      </c>
      <c r="C40" s="1" t="s">
        <v>70</v>
      </c>
      <c r="D40" s="1" t="s">
        <v>19</v>
      </c>
      <c r="E40" s="6">
        <v>0.31000000000000005</v>
      </c>
      <c r="F40" s="6">
        <v>0.63</v>
      </c>
      <c r="G40" s="6">
        <v>0</v>
      </c>
      <c r="H40" s="6">
        <v>0</v>
      </c>
      <c r="I40" s="6" t="s">
        <v>32</v>
      </c>
      <c r="J40" s="6" t="s">
        <v>32</v>
      </c>
      <c r="K40" s="6" t="s">
        <v>32</v>
      </c>
      <c r="L40" s="6">
        <v>0.05</v>
      </c>
      <c r="M40" s="6" t="s">
        <v>32</v>
      </c>
      <c r="N40" s="6" t="s">
        <v>32</v>
      </c>
      <c r="O40" s="6" t="s">
        <v>32</v>
      </c>
      <c r="P40" s="6">
        <v>137.19999999999999</v>
      </c>
      <c r="Q40" s="6">
        <v>89.3</v>
      </c>
      <c r="R40" s="6">
        <v>49.8</v>
      </c>
      <c r="S40" s="6">
        <v>36.5</v>
      </c>
      <c r="T40" s="6" t="s">
        <v>32</v>
      </c>
      <c r="U40" s="6" t="s">
        <v>32</v>
      </c>
    </row>
    <row r="41" spans="1:21" x14ac:dyDescent="0.15">
      <c r="A41" s="1">
        <v>37</v>
      </c>
      <c r="B41" s="2" t="s">
        <v>51</v>
      </c>
      <c r="C41" s="1" t="s">
        <v>71</v>
      </c>
      <c r="D41" s="1" t="s">
        <v>19</v>
      </c>
      <c r="E41" s="6">
        <v>0.27</v>
      </c>
      <c r="F41" s="6">
        <v>0.71</v>
      </c>
      <c r="G41" s="6">
        <v>0.01</v>
      </c>
      <c r="H41" s="6">
        <v>0</v>
      </c>
      <c r="I41" s="6" t="s">
        <v>32</v>
      </c>
      <c r="J41" s="6" t="s">
        <v>32</v>
      </c>
      <c r="K41" s="6" t="s">
        <v>32</v>
      </c>
      <c r="L41" s="6">
        <v>0</v>
      </c>
      <c r="M41" s="6" t="s">
        <v>32</v>
      </c>
      <c r="N41" s="6" t="s">
        <v>32</v>
      </c>
      <c r="O41" s="6" t="s">
        <v>32</v>
      </c>
      <c r="P41" s="6">
        <v>156.9</v>
      </c>
      <c r="Q41" s="6">
        <v>74.099999999999994</v>
      </c>
      <c r="R41" s="6">
        <v>56.2</v>
      </c>
      <c r="S41" s="6">
        <v>40.9</v>
      </c>
      <c r="T41" s="6" t="s">
        <v>32</v>
      </c>
      <c r="U41" s="6" t="s">
        <v>32</v>
      </c>
    </row>
    <row r="42" spans="1:21" x14ac:dyDescent="0.15">
      <c r="A42" s="1">
        <v>38</v>
      </c>
      <c r="B42" s="2" t="s">
        <v>51</v>
      </c>
      <c r="C42" s="1" t="s">
        <v>72</v>
      </c>
      <c r="D42" s="1" t="s">
        <v>19</v>
      </c>
      <c r="E42" s="6">
        <v>0.42000000000000004</v>
      </c>
      <c r="F42" s="6">
        <v>0.55000000000000004</v>
      </c>
      <c r="G42" s="6">
        <v>0.02</v>
      </c>
      <c r="H42" s="6">
        <v>0</v>
      </c>
      <c r="I42" s="6" t="s">
        <v>32</v>
      </c>
      <c r="J42" s="6" t="s">
        <v>32</v>
      </c>
      <c r="K42" s="6" t="s">
        <v>32</v>
      </c>
      <c r="L42" s="6">
        <v>0.02</v>
      </c>
      <c r="M42" s="6" t="s">
        <v>32</v>
      </c>
      <c r="N42" s="6" t="s">
        <v>32</v>
      </c>
      <c r="O42" s="6" t="s">
        <v>32</v>
      </c>
      <c r="P42" s="6">
        <v>178.5</v>
      </c>
      <c r="Q42" s="6">
        <v>123.3</v>
      </c>
      <c r="R42" s="6">
        <v>70.2</v>
      </c>
      <c r="S42" s="6">
        <v>51.3</v>
      </c>
      <c r="T42" s="6" t="s">
        <v>32</v>
      </c>
      <c r="U42" s="6" t="s">
        <v>32</v>
      </c>
    </row>
    <row r="43" spans="1:21" x14ac:dyDescent="0.15">
      <c r="A43" s="1">
        <v>39</v>
      </c>
      <c r="B43" s="2" t="s">
        <v>51</v>
      </c>
      <c r="C43" s="1" t="s">
        <v>73</v>
      </c>
      <c r="D43" s="1" t="s">
        <v>19</v>
      </c>
      <c r="E43" s="6">
        <v>0.43</v>
      </c>
      <c r="F43" s="6">
        <v>0.4</v>
      </c>
      <c r="G43" s="6">
        <v>0.09</v>
      </c>
      <c r="H43" s="6">
        <v>0.01</v>
      </c>
      <c r="I43" s="6" t="s">
        <v>32</v>
      </c>
      <c r="J43" s="6" t="s">
        <v>32</v>
      </c>
      <c r="K43" s="6" t="s">
        <v>32</v>
      </c>
      <c r="L43" s="6">
        <v>7.0000000000000007E-2</v>
      </c>
      <c r="M43" s="6" t="s">
        <v>32</v>
      </c>
      <c r="N43" s="6" t="s">
        <v>32</v>
      </c>
      <c r="O43" s="6" t="s">
        <v>32</v>
      </c>
      <c r="P43" s="6">
        <v>154.5</v>
      </c>
      <c r="Q43" s="6">
        <v>118.5</v>
      </c>
      <c r="R43" s="6">
        <v>57.5</v>
      </c>
      <c r="S43" s="6">
        <v>50.4</v>
      </c>
      <c r="T43" s="6" t="s">
        <v>32</v>
      </c>
      <c r="U43" s="6" t="s">
        <v>32</v>
      </c>
    </row>
    <row r="44" spans="1:21" x14ac:dyDescent="0.15">
      <c r="A44" s="1">
        <v>40</v>
      </c>
      <c r="B44" s="2" t="s">
        <v>51</v>
      </c>
      <c r="C44" s="1" t="s">
        <v>74</v>
      </c>
      <c r="D44" s="1" t="s">
        <v>19</v>
      </c>
      <c r="E44" s="6">
        <v>0.19999999999999998</v>
      </c>
      <c r="F44" s="6">
        <v>0.64</v>
      </c>
      <c r="G44" s="6">
        <v>0.03</v>
      </c>
      <c r="H44" s="6">
        <v>0</v>
      </c>
      <c r="I44" s="6" t="s">
        <v>32</v>
      </c>
      <c r="J44" s="6" t="s">
        <v>32</v>
      </c>
      <c r="K44" s="6" t="s">
        <v>32</v>
      </c>
      <c r="L44" s="6">
        <v>0.13</v>
      </c>
      <c r="M44" s="6" t="s">
        <v>32</v>
      </c>
      <c r="N44" s="6" t="s">
        <v>32</v>
      </c>
      <c r="O44" s="6" t="s">
        <v>32</v>
      </c>
      <c r="P44" s="6">
        <v>141.37</v>
      </c>
      <c r="Q44" s="6">
        <v>116.5</v>
      </c>
      <c r="R44" s="6">
        <v>60.2</v>
      </c>
      <c r="S44" s="6">
        <v>46.7</v>
      </c>
      <c r="T44" s="6" t="s">
        <v>32</v>
      </c>
      <c r="U44" s="6" t="s">
        <v>32</v>
      </c>
    </row>
    <row r="45" spans="1:21" x14ac:dyDescent="0.15">
      <c r="A45" s="1">
        <v>41</v>
      </c>
      <c r="B45" s="2" t="s">
        <v>51</v>
      </c>
      <c r="C45" s="1" t="s">
        <v>75</v>
      </c>
      <c r="D45" s="1" t="s">
        <v>19</v>
      </c>
      <c r="E45" s="6">
        <v>0.28000000000000003</v>
      </c>
      <c r="F45" s="6">
        <v>0.69</v>
      </c>
      <c r="G45" s="6">
        <v>0</v>
      </c>
      <c r="H45" s="6">
        <v>0.03</v>
      </c>
      <c r="I45" s="6" t="s">
        <v>32</v>
      </c>
      <c r="J45" s="6" t="s">
        <v>32</v>
      </c>
      <c r="K45" s="6" t="s">
        <v>32</v>
      </c>
      <c r="L45" s="6">
        <v>0</v>
      </c>
      <c r="M45" s="6" t="s">
        <v>32</v>
      </c>
      <c r="N45" s="6" t="s">
        <v>32</v>
      </c>
      <c r="O45" s="6" t="s">
        <v>32</v>
      </c>
      <c r="P45" s="6">
        <v>99</v>
      </c>
      <c r="Q45" s="6">
        <v>73.2</v>
      </c>
      <c r="R45" s="6">
        <v>45.5</v>
      </c>
      <c r="S45" s="6">
        <v>36.799999999999997</v>
      </c>
      <c r="T45" s="6" t="s">
        <v>32</v>
      </c>
      <c r="U45" s="6" t="s">
        <v>32</v>
      </c>
    </row>
    <row r="46" spans="1:21" x14ac:dyDescent="0.15">
      <c r="A46" s="1">
        <v>42</v>
      </c>
      <c r="B46" s="2" t="s">
        <v>51</v>
      </c>
      <c r="C46" s="1" t="s">
        <v>76</v>
      </c>
      <c r="D46" s="1" t="s">
        <v>19</v>
      </c>
      <c r="E46" s="6">
        <v>0.36</v>
      </c>
      <c r="F46" s="6">
        <v>0.62</v>
      </c>
      <c r="G46" s="6">
        <v>0.03</v>
      </c>
      <c r="H46" s="6">
        <v>0</v>
      </c>
      <c r="I46" s="6" t="s">
        <v>32</v>
      </c>
      <c r="J46" s="6" t="s">
        <v>32</v>
      </c>
      <c r="K46" s="6" t="s">
        <v>32</v>
      </c>
      <c r="L46" s="6">
        <v>0</v>
      </c>
      <c r="M46" s="6" t="s">
        <v>32</v>
      </c>
      <c r="N46" s="6" t="s">
        <v>32</v>
      </c>
      <c r="O46" s="6" t="s">
        <v>32</v>
      </c>
      <c r="P46" s="6">
        <v>108.5</v>
      </c>
      <c r="Q46" s="6">
        <v>88.5</v>
      </c>
      <c r="R46" s="6">
        <v>49.14</v>
      </c>
      <c r="S46" s="6">
        <v>45.3</v>
      </c>
      <c r="T46" s="6" t="s">
        <v>32</v>
      </c>
      <c r="U46" s="6" t="s">
        <v>32</v>
      </c>
    </row>
    <row r="47" spans="1:21" x14ac:dyDescent="0.15">
      <c r="A47" s="1">
        <v>43</v>
      </c>
      <c r="B47" s="2" t="s">
        <v>77</v>
      </c>
      <c r="C47" s="1" t="s">
        <v>78</v>
      </c>
      <c r="D47" s="1" t="s">
        <v>20</v>
      </c>
      <c r="E47" s="6">
        <v>0.87</v>
      </c>
      <c r="F47" s="6">
        <v>0.13</v>
      </c>
      <c r="G47" s="6">
        <v>0</v>
      </c>
      <c r="H47" s="6">
        <v>0</v>
      </c>
      <c r="I47" s="6" t="s">
        <v>32</v>
      </c>
      <c r="J47" s="6" t="s">
        <v>32</v>
      </c>
      <c r="K47" s="6" t="s">
        <v>32</v>
      </c>
      <c r="L47" s="6">
        <v>0</v>
      </c>
      <c r="M47" s="6" t="s">
        <v>32</v>
      </c>
      <c r="N47" s="6" t="s">
        <v>32</v>
      </c>
      <c r="O47" s="6" t="s">
        <v>32</v>
      </c>
      <c r="P47" s="6">
        <v>114.1</v>
      </c>
      <c r="Q47" s="6">
        <v>62.5</v>
      </c>
      <c r="R47" s="6">
        <v>32.200000000000003</v>
      </c>
      <c r="S47" s="6">
        <v>27.7</v>
      </c>
      <c r="T47" s="6" t="s">
        <v>32</v>
      </c>
      <c r="U47" s="6">
        <v>4736</v>
      </c>
    </row>
    <row r="48" spans="1:21" x14ac:dyDescent="0.15">
      <c r="A48" s="1">
        <v>44</v>
      </c>
      <c r="B48" s="2" t="s">
        <v>77</v>
      </c>
      <c r="C48" s="1" t="s">
        <v>79</v>
      </c>
      <c r="D48" s="1" t="s">
        <v>20</v>
      </c>
      <c r="E48" s="6">
        <v>0.85</v>
      </c>
      <c r="F48" s="6">
        <v>0.14000000000000001</v>
      </c>
      <c r="G48" s="6">
        <v>0</v>
      </c>
      <c r="H48" s="6">
        <v>0</v>
      </c>
      <c r="I48" s="6" t="s">
        <v>32</v>
      </c>
      <c r="J48" s="6" t="s">
        <v>32</v>
      </c>
      <c r="K48" s="6" t="s">
        <v>32</v>
      </c>
      <c r="L48" s="6">
        <v>0</v>
      </c>
      <c r="M48" s="6" t="s">
        <v>32</v>
      </c>
      <c r="N48" s="6" t="s">
        <v>32</v>
      </c>
      <c r="O48" s="6" t="s">
        <v>32</v>
      </c>
      <c r="P48" s="6">
        <v>121.2</v>
      </c>
      <c r="Q48" s="6">
        <v>76.8</v>
      </c>
      <c r="R48" s="6">
        <v>29.8</v>
      </c>
      <c r="S48" s="6">
        <v>26.9</v>
      </c>
      <c r="T48" s="6" t="s">
        <v>32</v>
      </c>
      <c r="U48" s="6">
        <v>3509</v>
      </c>
    </row>
    <row r="49" spans="1:22" x14ac:dyDescent="0.15">
      <c r="A49" s="1">
        <v>45</v>
      </c>
      <c r="B49" s="2" t="s">
        <v>77</v>
      </c>
      <c r="C49" s="1" t="s">
        <v>80</v>
      </c>
      <c r="D49" s="1" t="s">
        <v>20</v>
      </c>
      <c r="E49" s="6">
        <v>0.6399999999999999</v>
      </c>
      <c r="F49" s="6">
        <v>0.35</v>
      </c>
      <c r="G49" s="6">
        <v>0</v>
      </c>
      <c r="H49" s="6">
        <v>0</v>
      </c>
      <c r="I49" s="6" t="s">
        <v>32</v>
      </c>
      <c r="J49" s="6" t="s">
        <v>32</v>
      </c>
      <c r="K49" s="6" t="s">
        <v>32</v>
      </c>
      <c r="L49" s="6">
        <v>0</v>
      </c>
      <c r="M49" s="6" t="s">
        <v>32</v>
      </c>
      <c r="N49" s="6" t="s">
        <v>32</v>
      </c>
      <c r="O49" s="6" t="s">
        <v>32</v>
      </c>
      <c r="P49" s="6">
        <v>158.30000000000001</v>
      </c>
      <c r="Q49" s="6">
        <v>112.8</v>
      </c>
      <c r="R49" s="6">
        <v>36.9</v>
      </c>
      <c r="S49" s="6">
        <v>27.2</v>
      </c>
      <c r="T49" s="6" t="s">
        <v>32</v>
      </c>
      <c r="U49" s="6">
        <v>8260</v>
      </c>
    </row>
    <row r="50" spans="1:22" x14ac:dyDescent="0.15">
      <c r="A50" s="1">
        <v>47</v>
      </c>
      <c r="B50" s="2" t="s">
        <v>77</v>
      </c>
      <c r="C50" s="1" t="s">
        <v>81</v>
      </c>
      <c r="D50" s="1" t="s">
        <v>20</v>
      </c>
      <c r="E50" s="6">
        <v>0.8600000000000001</v>
      </c>
      <c r="F50" s="6">
        <v>0.13</v>
      </c>
      <c r="G50" s="6">
        <v>0</v>
      </c>
      <c r="H50" s="6">
        <v>0</v>
      </c>
      <c r="I50" s="6" t="s">
        <v>32</v>
      </c>
      <c r="J50" s="6" t="s">
        <v>32</v>
      </c>
      <c r="K50" s="6" t="s">
        <v>32</v>
      </c>
      <c r="L50" s="6">
        <v>0</v>
      </c>
      <c r="M50" s="6" t="s">
        <v>32</v>
      </c>
      <c r="N50" s="6" t="s">
        <v>32</v>
      </c>
      <c r="O50" s="6" t="s">
        <v>32</v>
      </c>
      <c r="P50" s="6">
        <v>116.3</v>
      </c>
      <c r="Q50" s="6">
        <v>100</v>
      </c>
      <c r="R50" s="6">
        <v>34.299999999999997</v>
      </c>
      <c r="S50" s="6">
        <v>30.4</v>
      </c>
      <c r="T50" s="6" t="s">
        <v>32</v>
      </c>
      <c r="U50" s="6">
        <v>3615</v>
      </c>
    </row>
    <row r="51" spans="1:22" x14ac:dyDescent="0.15">
      <c r="A51" s="1">
        <v>48</v>
      </c>
      <c r="B51" s="2" t="s">
        <v>77</v>
      </c>
      <c r="C51" s="1" t="s">
        <v>82</v>
      </c>
      <c r="D51" s="1" t="s">
        <v>20</v>
      </c>
      <c r="E51" s="6">
        <v>0.51</v>
      </c>
      <c r="F51" s="6">
        <v>0.38</v>
      </c>
      <c r="G51" s="6">
        <v>0</v>
      </c>
      <c r="H51" s="6">
        <v>0.13</v>
      </c>
      <c r="I51" s="6" t="s">
        <v>32</v>
      </c>
      <c r="J51" s="6" t="s">
        <v>32</v>
      </c>
      <c r="K51" s="6" t="s">
        <v>32</v>
      </c>
      <c r="L51" s="6">
        <v>0</v>
      </c>
      <c r="M51" s="6" t="s">
        <v>32</v>
      </c>
      <c r="N51" s="6" t="s">
        <v>32</v>
      </c>
      <c r="O51" s="6" t="s">
        <v>32</v>
      </c>
      <c r="P51" s="6">
        <v>79.5</v>
      </c>
      <c r="Q51" s="6">
        <v>65.599999999999994</v>
      </c>
      <c r="R51" s="6">
        <v>27.2</v>
      </c>
      <c r="S51" s="6">
        <v>23.8</v>
      </c>
      <c r="T51" s="6" t="s">
        <v>32</v>
      </c>
      <c r="U51" s="6">
        <v>2030</v>
      </c>
    </row>
    <row r="52" spans="1:22" x14ac:dyDescent="0.15">
      <c r="A52" s="1">
        <v>49</v>
      </c>
      <c r="B52" s="2" t="s">
        <v>77</v>
      </c>
      <c r="C52" s="1" t="s">
        <v>83</v>
      </c>
      <c r="D52" s="1" t="s">
        <v>20</v>
      </c>
      <c r="E52" s="6">
        <v>0.73</v>
      </c>
      <c r="F52" s="6">
        <v>0.24</v>
      </c>
      <c r="G52" s="6">
        <v>0</v>
      </c>
      <c r="H52" s="6">
        <v>0</v>
      </c>
      <c r="I52" s="6" t="s">
        <v>32</v>
      </c>
      <c r="J52" s="6" t="s">
        <v>32</v>
      </c>
      <c r="K52" s="6" t="s">
        <v>32</v>
      </c>
      <c r="L52" s="6">
        <v>0.02</v>
      </c>
      <c r="M52" s="6" t="s">
        <v>32</v>
      </c>
      <c r="N52" s="6" t="s">
        <v>32</v>
      </c>
      <c r="O52" s="6" t="s">
        <v>32</v>
      </c>
      <c r="P52" s="6">
        <v>98.4</v>
      </c>
      <c r="Q52" s="6">
        <v>68.900000000000006</v>
      </c>
      <c r="R52" s="6">
        <v>31.3</v>
      </c>
      <c r="S52" s="6">
        <v>27</v>
      </c>
      <c r="T52" s="6" t="s">
        <v>32</v>
      </c>
      <c r="U52" s="6">
        <v>2908</v>
      </c>
    </row>
    <row r="53" spans="1:22" x14ac:dyDescent="0.15">
      <c r="A53" s="1">
        <v>50</v>
      </c>
      <c r="B53" s="2" t="s">
        <v>77</v>
      </c>
      <c r="C53" s="1" t="s">
        <v>84</v>
      </c>
      <c r="D53" s="1" t="s">
        <v>20</v>
      </c>
      <c r="E53" s="6">
        <v>0.875</v>
      </c>
      <c r="F53" s="6">
        <v>0</v>
      </c>
      <c r="G53" s="6">
        <v>0</v>
      </c>
      <c r="H53" s="6">
        <v>0.13</v>
      </c>
      <c r="I53" s="6" t="s">
        <v>32</v>
      </c>
      <c r="J53" s="6" t="s">
        <v>32</v>
      </c>
      <c r="K53" s="6" t="s">
        <v>32</v>
      </c>
      <c r="L53" s="6">
        <v>0</v>
      </c>
      <c r="M53" s="6" t="s">
        <v>32</v>
      </c>
      <c r="N53" s="6" t="s">
        <v>32</v>
      </c>
      <c r="O53" s="6" t="s">
        <v>32</v>
      </c>
      <c r="P53" s="6">
        <v>73.400000000000006</v>
      </c>
      <c r="Q53" s="6">
        <v>55.9</v>
      </c>
      <c r="R53" s="6">
        <v>28.8</v>
      </c>
      <c r="S53" s="6">
        <v>28</v>
      </c>
      <c r="T53" s="6" t="s">
        <v>32</v>
      </c>
      <c r="U53" s="6">
        <v>1891</v>
      </c>
    </row>
    <row r="54" spans="1:22" x14ac:dyDescent="0.15">
      <c r="A54" s="1">
        <v>51</v>
      </c>
      <c r="B54" s="2" t="s">
        <v>77</v>
      </c>
      <c r="C54" s="1" t="s">
        <v>85</v>
      </c>
      <c r="D54" s="1" t="s">
        <v>20</v>
      </c>
      <c r="E54" s="6">
        <v>0.97</v>
      </c>
      <c r="F54" s="6">
        <v>0.03</v>
      </c>
      <c r="G54" s="6">
        <v>0</v>
      </c>
      <c r="H54" s="6">
        <v>0</v>
      </c>
      <c r="I54" s="6" t="s">
        <v>32</v>
      </c>
      <c r="J54" s="6" t="s">
        <v>32</v>
      </c>
      <c r="K54" s="6" t="s">
        <v>32</v>
      </c>
      <c r="L54" s="6">
        <v>0</v>
      </c>
      <c r="M54" s="6" t="s">
        <v>32</v>
      </c>
      <c r="N54" s="6" t="s">
        <v>32</v>
      </c>
      <c r="O54" s="6" t="s">
        <v>32</v>
      </c>
      <c r="P54" s="6">
        <v>68.3</v>
      </c>
      <c r="Q54" s="6">
        <v>43.4</v>
      </c>
      <c r="R54" s="6">
        <v>26.4</v>
      </c>
      <c r="S54" s="6">
        <v>22.9</v>
      </c>
      <c r="T54" s="6" t="s">
        <v>32</v>
      </c>
      <c r="U54" s="6">
        <v>1674</v>
      </c>
    </row>
    <row r="55" spans="1:22" x14ac:dyDescent="0.15">
      <c r="A55" s="1">
        <v>52</v>
      </c>
      <c r="B55" s="2" t="s">
        <v>77</v>
      </c>
      <c r="C55" s="1" t="s">
        <v>86</v>
      </c>
      <c r="D55" s="1" t="s">
        <v>20</v>
      </c>
      <c r="E55" s="6">
        <v>0.66</v>
      </c>
      <c r="F55" s="6">
        <v>0.33</v>
      </c>
      <c r="G55" s="6">
        <v>0</v>
      </c>
      <c r="H55" s="6">
        <v>0</v>
      </c>
      <c r="I55" s="6" t="s">
        <v>32</v>
      </c>
      <c r="J55" s="6" t="s">
        <v>32</v>
      </c>
      <c r="K55" s="6" t="s">
        <v>32</v>
      </c>
      <c r="L55" s="6">
        <v>0</v>
      </c>
      <c r="M55" s="6" t="s">
        <v>32</v>
      </c>
      <c r="N55" s="6" t="s">
        <v>32</v>
      </c>
      <c r="O55" s="6" t="s">
        <v>32</v>
      </c>
      <c r="P55" s="6">
        <v>103.3</v>
      </c>
      <c r="Q55" s="6">
        <v>119.6</v>
      </c>
      <c r="R55" s="6">
        <v>31.9</v>
      </c>
      <c r="S55" s="6">
        <v>29.6</v>
      </c>
      <c r="T55" s="6" t="s">
        <v>32</v>
      </c>
      <c r="U55" s="6">
        <v>2954</v>
      </c>
    </row>
    <row r="56" spans="1:22" x14ac:dyDescent="0.15">
      <c r="A56" s="1">
        <v>53</v>
      </c>
      <c r="B56" s="2" t="s">
        <v>77</v>
      </c>
      <c r="C56" s="1" t="s">
        <v>87</v>
      </c>
      <c r="D56" s="1" t="s">
        <v>20</v>
      </c>
      <c r="E56" s="6">
        <v>0.43</v>
      </c>
      <c r="F56" s="6">
        <v>0.43</v>
      </c>
      <c r="G56" s="6">
        <v>0.14000000000000001</v>
      </c>
      <c r="H56" s="6">
        <v>0</v>
      </c>
      <c r="I56" s="6" t="s">
        <v>32</v>
      </c>
      <c r="J56" s="6" t="s">
        <v>32</v>
      </c>
      <c r="K56" s="6" t="s">
        <v>32</v>
      </c>
      <c r="L56" s="6">
        <v>0</v>
      </c>
      <c r="M56" s="6" t="s">
        <v>32</v>
      </c>
      <c r="N56" s="6" t="s">
        <v>32</v>
      </c>
      <c r="O56" s="6" t="s">
        <v>32</v>
      </c>
      <c r="P56" s="6">
        <v>112.4</v>
      </c>
      <c r="Q56" s="6">
        <v>102.3</v>
      </c>
      <c r="R56" s="6">
        <v>38.6</v>
      </c>
      <c r="S56" s="6">
        <v>36.9</v>
      </c>
      <c r="T56" s="6" t="s">
        <v>32</v>
      </c>
      <c r="U56" s="6">
        <v>3673</v>
      </c>
    </row>
    <row r="57" spans="1:22" x14ac:dyDescent="0.15">
      <c r="A57" s="1">
        <v>54</v>
      </c>
      <c r="B57" s="2" t="s">
        <v>77</v>
      </c>
      <c r="C57" s="1" t="s">
        <v>88</v>
      </c>
      <c r="D57" s="1" t="s">
        <v>20</v>
      </c>
      <c r="E57" s="6">
        <v>0.4</v>
      </c>
      <c r="F57" s="6">
        <v>0.6</v>
      </c>
      <c r="G57" s="6">
        <v>0</v>
      </c>
      <c r="H57" s="6">
        <v>0</v>
      </c>
      <c r="I57" s="6" t="s">
        <v>32</v>
      </c>
      <c r="J57" s="6" t="s">
        <v>32</v>
      </c>
      <c r="K57" s="6" t="s">
        <v>32</v>
      </c>
      <c r="L57" s="6">
        <v>0</v>
      </c>
      <c r="M57" s="6" t="s">
        <v>32</v>
      </c>
      <c r="N57" s="6" t="s">
        <v>32</v>
      </c>
      <c r="O57" s="6" t="s">
        <v>32</v>
      </c>
      <c r="P57" s="6">
        <v>57.2</v>
      </c>
      <c r="Q57" s="6">
        <v>41.6</v>
      </c>
      <c r="R57" s="6">
        <v>23</v>
      </c>
      <c r="S57" s="6">
        <v>20.5</v>
      </c>
      <c r="T57" s="6" t="s">
        <v>32</v>
      </c>
      <c r="U57" s="6">
        <v>1222</v>
      </c>
    </row>
    <row r="58" spans="1:22" x14ac:dyDescent="0.15">
      <c r="A58" s="1">
        <v>55</v>
      </c>
      <c r="B58" s="2" t="s">
        <v>77</v>
      </c>
      <c r="C58" s="1" t="s">
        <v>89</v>
      </c>
      <c r="D58" s="1" t="s">
        <v>20</v>
      </c>
      <c r="E58" s="6">
        <v>1.01</v>
      </c>
      <c r="F58" s="6">
        <v>0</v>
      </c>
      <c r="G58" s="6">
        <v>0</v>
      </c>
      <c r="H58" s="6">
        <v>0</v>
      </c>
      <c r="I58" s="6" t="s">
        <v>32</v>
      </c>
      <c r="J58" s="6" t="s">
        <v>32</v>
      </c>
      <c r="K58" s="6" t="s">
        <v>32</v>
      </c>
      <c r="L58" s="6">
        <v>0</v>
      </c>
      <c r="M58" s="6" t="s">
        <v>32</v>
      </c>
      <c r="N58" s="6" t="s">
        <v>32</v>
      </c>
      <c r="O58" s="6" t="s">
        <v>32</v>
      </c>
      <c r="P58" s="6">
        <v>145.6</v>
      </c>
      <c r="Q58" s="6">
        <v>119.4</v>
      </c>
      <c r="R58" s="6">
        <v>52.1</v>
      </c>
      <c r="S58" s="6">
        <v>28.4</v>
      </c>
      <c r="T58" s="6" t="s">
        <v>32</v>
      </c>
      <c r="U58" s="6">
        <v>9672</v>
      </c>
    </row>
    <row r="59" spans="1:22" x14ac:dyDescent="0.15">
      <c r="A59" s="1">
        <v>56</v>
      </c>
      <c r="B59" s="2" t="s">
        <v>77</v>
      </c>
      <c r="C59" s="1" t="s">
        <v>90</v>
      </c>
      <c r="D59" s="1" t="s">
        <v>20</v>
      </c>
      <c r="E59" s="6">
        <v>0.6</v>
      </c>
      <c r="F59" s="6">
        <v>0.4</v>
      </c>
      <c r="G59" s="6">
        <v>0</v>
      </c>
      <c r="H59" s="6">
        <v>0</v>
      </c>
      <c r="I59" s="6" t="s">
        <v>32</v>
      </c>
      <c r="J59" s="6" t="s">
        <v>32</v>
      </c>
      <c r="K59" s="6" t="s">
        <v>32</v>
      </c>
      <c r="L59" s="6">
        <v>0</v>
      </c>
      <c r="M59" s="6" t="s">
        <v>32</v>
      </c>
      <c r="N59" s="6" t="s">
        <v>32</v>
      </c>
      <c r="O59" s="6" t="s">
        <v>32</v>
      </c>
      <c r="P59" s="6">
        <v>68.599999999999994</v>
      </c>
      <c r="Q59" s="6">
        <v>53.8</v>
      </c>
      <c r="R59" s="6">
        <v>27.2</v>
      </c>
      <c r="S59" s="6">
        <v>23.9</v>
      </c>
      <c r="T59" s="6" t="s">
        <v>32</v>
      </c>
      <c r="U59" s="6">
        <v>1838</v>
      </c>
    </row>
    <row r="60" spans="1:22" x14ac:dyDescent="0.15">
      <c r="A60" s="1">
        <v>57</v>
      </c>
      <c r="B60" s="2" t="s">
        <v>77</v>
      </c>
      <c r="C60" s="1" t="s">
        <v>91</v>
      </c>
      <c r="D60" s="1" t="s">
        <v>20</v>
      </c>
      <c r="E60" s="6">
        <v>0.26</v>
      </c>
      <c r="F60" s="6">
        <v>0.67</v>
      </c>
      <c r="G60" s="6">
        <v>0</v>
      </c>
      <c r="H60" s="6">
        <v>7.0000000000000007E-2</v>
      </c>
      <c r="I60" s="6" t="s">
        <v>32</v>
      </c>
      <c r="J60" s="6" t="s">
        <v>32</v>
      </c>
      <c r="K60" s="6" t="s">
        <v>32</v>
      </c>
      <c r="L60" s="6">
        <v>0</v>
      </c>
      <c r="M60" s="6" t="s">
        <v>32</v>
      </c>
      <c r="N60" s="6" t="s">
        <v>32</v>
      </c>
      <c r="O60" s="6" t="s">
        <v>32</v>
      </c>
      <c r="P60" s="6">
        <v>717.2</v>
      </c>
      <c r="Q60" s="6">
        <v>155.1</v>
      </c>
      <c r="R60" s="6">
        <v>61.8</v>
      </c>
      <c r="S60" s="6">
        <v>45.6</v>
      </c>
      <c r="T60" s="6" t="s">
        <v>32</v>
      </c>
      <c r="U60" s="6">
        <v>44878</v>
      </c>
    </row>
    <row r="61" spans="1:22" x14ac:dyDescent="0.15">
      <c r="A61" s="1">
        <v>58</v>
      </c>
      <c r="B61" s="2" t="s">
        <v>77</v>
      </c>
      <c r="C61" s="1" t="s">
        <v>92</v>
      </c>
      <c r="D61" s="1" t="s">
        <v>20</v>
      </c>
      <c r="E61" s="6">
        <v>0.76999999999999991</v>
      </c>
      <c r="F61" s="6">
        <v>0.15</v>
      </c>
      <c r="G61" s="6">
        <v>0.08</v>
      </c>
      <c r="H61" s="6">
        <v>0</v>
      </c>
      <c r="I61" s="6" t="s">
        <v>32</v>
      </c>
      <c r="J61" s="6" t="s">
        <v>32</v>
      </c>
      <c r="K61" s="6" t="s">
        <v>32</v>
      </c>
      <c r="L61" s="6">
        <v>0</v>
      </c>
      <c r="M61" s="6" t="s">
        <v>32</v>
      </c>
      <c r="N61" s="6" t="s">
        <v>32</v>
      </c>
      <c r="O61" s="6" t="s">
        <v>32</v>
      </c>
      <c r="P61" s="6">
        <v>136.1</v>
      </c>
      <c r="Q61" s="6">
        <v>113.5</v>
      </c>
      <c r="R61" s="6">
        <v>62.2</v>
      </c>
      <c r="S61" s="6">
        <v>43.3</v>
      </c>
      <c r="T61" s="6" t="s">
        <v>32</v>
      </c>
      <c r="U61" s="6">
        <v>9540</v>
      </c>
    </row>
    <row r="62" spans="1:22" x14ac:dyDescent="0.15">
      <c r="A62" s="1">
        <v>59</v>
      </c>
      <c r="B62" s="2" t="s">
        <v>77</v>
      </c>
      <c r="C62" s="1" t="s">
        <v>93</v>
      </c>
      <c r="D62" s="1" t="s">
        <v>20</v>
      </c>
      <c r="E62" s="6">
        <v>0.5</v>
      </c>
      <c r="F62" s="6">
        <v>0.5</v>
      </c>
      <c r="G62" s="6">
        <v>0</v>
      </c>
      <c r="H62" s="6">
        <v>0</v>
      </c>
      <c r="I62" s="6" t="s">
        <v>32</v>
      </c>
      <c r="J62" s="6" t="s">
        <v>32</v>
      </c>
      <c r="K62" s="6" t="s">
        <v>32</v>
      </c>
      <c r="L62" s="6">
        <v>0</v>
      </c>
      <c r="M62" s="6" t="s">
        <v>32</v>
      </c>
      <c r="N62" s="6" t="s">
        <v>32</v>
      </c>
      <c r="O62" s="6" t="s">
        <v>32</v>
      </c>
      <c r="P62" s="6">
        <v>87.7</v>
      </c>
      <c r="Q62" s="6">
        <v>76.599999999999994</v>
      </c>
      <c r="R62" s="6">
        <v>35.1</v>
      </c>
      <c r="S62" s="6">
        <v>40</v>
      </c>
      <c r="T62" s="6" t="s">
        <v>32</v>
      </c>
      <c r="U62" s="6">
        <v>2737</v>
      </c>
    </row>
    <row r="63" spans="1:22" x14ac:dyDescent="0.15">
      <c r="A63" s="1">
        <v>60</v>
      </c>
      <c r="B63" s="2" t="s">
        <v>77</v>
      </c>
      <c r="C63" s="1" t="s">
        <v>94</v>
      </c>
      <c r="D63" s="1" t="s">
        <v>20</v>
      </c>
      <c r="E63" s="6">
        <v>0.59</v>
      </c>
      <c r="F63" s="6">
        <v>0.28999999999999998</v>
      </c>
      <c r="G63" s="6">
        <v>0.06</v>
      </c>
      <c r="H63" s="6">
        <v>0.06</v>
      </c>
      <c r="I63" s="6" t="s">
        <v>32</v>
      </c>
      <c r="J63" s="6" t="s">
        <v>32</v>
      </c>
      <c r="K63" s="6" t="s">
        <v>32</v>
      </c>
      <c r="L63" s="6">
        <v>0</v>
      </c>
      <c r="M63" s="6" t="s">
        <v>32</v>
      </c>
      <c r="N63" s="6" t="s">
        <v>32</v>
      </c>
      <c r="O63" s="6" t="s">
        <v>32</v>
      </c>
      <c r="P63" s="6">
        <v>123.3</v>
      </c>
      <c r="Q63" s="6">
        <v>67.099999999999994</v>
      </c>
      <c r="R63" s="6">
        <v>31.9</v>
      </c>
      <c r="S63" s="6">
        <v>26.3</v>
      </c>
      <c r="T63" s="6" t="s">
        <v>32</v>
      </c>
      <c r="U63" s="6">
        <v>3944</v>
      </c>
    </row>
    <row r="64" spans="1:22" x14ac:dyDescent="0.15">
      <c r="A64" s="1">
        <v>61</v>
      </c>
      <c r="B64" s="2" t="s">
        <v>95</v>
      </c>
      <c r="C64" s="1" t="s">
        <v>97</v>
      </c>
      <c r="D64" s="1" t="s">
        <v>19</v>
      </c>
      <c r="E64" s="6">
        <v>0.21</v>
      </c>
      <c r="F64" s="6">
        <f>ROUND((0.38+0.55+0.03+0.27+0.06)/3,2)</f>
        <v>0.43</v>
      </c>
      <c r="G64" s="6">
        <f>ROUND((0.08+0.03+0.08)/3,2)</f>
        <v>0.06</v>
      </c>
      <c r="H64" s="6">
        <f>ROUND(0.02/3,2)</f>
        <v>0.01</v>
      </c>
      <c r="I64" s="6" t="s">
        <v>32</v>
      </c>
      <c r="J64" s="6">
        <f>ROUND((0.13+0.36+0.29+0.02)/3,2)</f>
        <v>0.27</v>
      </c>
      <c r="K64" s="6" t="s">
        <v>32</v>
      </c>
      <c r="L64" s="6">
        <f>ROUND(0.02/3+0.02/3,2)</f>
        <v>0.01</v>
      </c>
      <c r="M64" s="6">
        <f>ROUND((1+0.97+0.84)/3,2)</f>
        <v>0.94</v>
      </c>
      <c r="N64" s="6">
        <v>0</v>
      </c>
      <c r="O64" s="6">
        <f>1-M64</f>
        <v>6.0000000000000053E-2</v>
      </c>
      <c r="P64" s="6">
        <v>35</v>
      </c>
      <c r="Q64" s="6" t="s">
        <v>32</v>
      </c>
      <c r="R64" s="6" t="s">
        <v>32</v>
      </c>
      <c r="S64" s="6" t="s">
        <v>32</v>
      </c>
      <c r="T64" s="6" t="s">
        <v>32</v>
      </c>
      <c r="U64" s="6" t="s">
        <v>32</v>
      </c>
      <c r="V64" s="1" t="s">
        <v>96</v>
      </c>
    </row>
    <row r="65" spans="1:22" x14ac:dyDescent="0.15">
      <c r="A65" s="1">
        <v>62</v>
      </c>
      <c r="B65" s="2" t="s">
        <v>98</v>
      </c>
      <c r="C65" s="1" t="s">
        <v>99</v>
      </c>
      <c r="D65" s="1" t="s">
        <v>19</v>
      </c>
      <c r="E65" s="6">
        <v>0.14000000000000001</v>
      </c>
      <c r="F65" s="6">
        <v>0.06</v>
      </c>
      <c r="G65" s="6">
        <v>0.21</v>
      </c>
      <c r="H65" s="6" t="s">
        <v>32</v>
      </c>
      <c r="I65" s="6" t="s">
        <v>32</v>
      </c>
      <c r="J65" s="6">
        <v>0.22</v>
      </c>
      <c r="K65" s="6">
        <v>0</v>
      </c>
      <c r="L65" s="6">
        <f>0.16+0.02+0.02+0.16</f>
        <v>0.36</v>
      </c>
      <c r="M65" s="6">
        <v>0.03</v>
      </c>
      <c r="N65" s="6">
        <v>0.01</v>
      </c>
      <c r="O65" s="6">
        <v>0.95</v>
      </c>
      <c r="P65" s="6">
        <v>683</v>
      </c>
      <c r="Q65" s="6" t="s">
        <v>32</v>
      </c>
      <c r="R65" s="6" t="s">
        <v>32</v>
      </c>
      <c r="S65" s="6" t="s">
        <v>32</v>
      </c>
      <c r="T65" s="6" t="s">
        <v>32</v>
      </c>
      <c r="U65" s="6" t="s">
        <v>32</v>
      </c>
      <c r="V65" s="1" t="s">
        <v>108</v>
      </c>
    </row>
    <row r="66" spans="1:22" x14ac:dyDescent="0.15">
      <c r="A66" s="1">
        <v>63</v>
      </c>
      <c r="B66" s="2" t="s">
        <v>98</v>
      </c>
      <c r="C66" s="1" t="s">
        <v>100</v>
      </c>
      <c r="D66" s="1" t="s">
        <v>19</v>
      </c>
      <c r="E66" s="6">
        <f>0.25+0.03</f>
        <v>0.28000000000000003</v>
      </c>
      <c r="F66" s="6">
        <v>0.06</v>
      </c>
      <c r="G66" s="6">
        <v>0.11</v>
      </c>
      <c r="H66" s="6" t="s">
        <v>32</v>
      </c>
      <c r="I66" s="6" t="s">
        <v>32</v>
      </c>
      <c r="J66" s="6">
        <v>0.23</v>
      </c>
      <c r="K66" s="6">
        <v>0.02</v>
      </c>
      <c r="L66" s="6">
        <f>0.2+0.09</f>
        <v>0.29000000000000004</v>
      </c>
      <c r="M66" s="6">
        <v>0</v>
      </c>
      <c r="N66" s="6">
        <v>0</v>
      </c>
      <c r="O66" s="6">
        <v>1</v>
      </c>
      <c r="P66" s="6">
        <v>1310</v>
      </c>
      <c r="Q66" s="6" t="s">
        <v>32</v>
      </c>
      <c r="R66" s="6" t="s">
        <v>32</v>
      </c>
      <c r="S66" s="6" t="s">
        <v>32</v>
      </c>
      <c r="T66" s="6" t="s">
        <v>32</v>
      </c>
      <c r="U66" s="6" t="s">
        <v>32</v>
      </c>
      <c r="V66" s="1" t="s">
        <v>108</v>
      </c>
    </row>
    <row r="67" spans="1:22" x14ac:dyDescent="0.15">
      <c r="A67" s="1">
        <v>64</v>
      </c>
      <c r="B67" s="2" t="s">
        <v>98</v>
      </c>
      <c r="C67" s="1" t="s">
        <v>101</v>
      </c>
      <c r="D67" s="1" t="s">
        <v>19</v>
      </c>
      <c r="E67" s="6">
        <f>0.17+0.06</f>
        <v>0.23</v>
      </c>
      <c r="F67" s="6">
        <v>0.03</v>
      </c>
      <c r="G67" s="6">
        <v>7.0000000000000007E-2</v>
      </c>
      <c r="H67" s="6" t="s">
        <v>32</v>
      </c>
      <c r="I67" s="6" t="s">
        <v>32</v>
      </c>
      <c r="J67" s="6">
        <v>0.23</v>
      </c>
      <c r="K67" s="6">
        <v>0.03</v>
      </c>
      <c r="L67" s="6">
        <f>0.17+0.03+0.2</f>
        <v>0.4</v>
      </c>
      <c r="M67" s="6">
        <v>0.01</v>
      </c>
      <c r="N67" s="6">
        <v>0</v>
      </c>
      <c r="O67" s="6">
        <v>0.99</v>
      </c>
      <c r="P67" s="6">
        <v>879</v>
      </c>
      <c r="Q67" s="6" t="s">
        <v>32</v>
      </c>
      <c r="R67" s="6" t="s">
        <v>32</v>
      </c>
      <c r="S67" s="6" t="s">
        <v>32</v>
      </c>
      <c r="T67" s="6" t="s">
        <v>32</v>
      </c>
      <c r="U67" s="6" t="s">
        <v>32</v>
      </c>
      <c r="V67" s="1" t="s">
        <v>108</v>
      </c>
    </row>
    <row r="68" spans="1:22" x14ac:dyDescent="0.15">
      <c r="A68" s="1">
        <v>65</v>
      </c>
      <c r="B68" s="2" t="s">
        <v>98</v>
      </c>
      <c r="C68" s="1" t="s">
        <v>102</v>
      </c>
      <c r="D68" s="1" t="s">
        <v>19</v>
      </c>
      <c r="E68" s="6">
        <f>0.23+0</f>
        <v>0.23</v>
      </c>
      <c r="F68" s="6">
        <v>0.08</v>
      </c>
      <c r="G68" s="6">
        <v>0.12</v>
      </c>
      <c r="H68" s="6" t="s">
        <v>32</v>
      </c>
      <c r="I68" s="6" t="s">
        <v>32</v>
      </c>
      <c r="J68" s="6">
        <v>0.17</v>
      </c>
      <c r="K68" s="6">
        <v>0</v>
      </c>
      <c r="L68" s="6">
        <f>0.28+0.12</f>
        <v>0.4</v>
      </c>
      <c r="M68" s="6">
        <v>0.01</v>
      </c>
      <c r="N68" s="6">
        <v>0</v>
      </c>
      <c r="O68" s="6">
        <v>0.99</v>
      </c>
      <c r="P68" s="6">
        <v>1350</v>
      </c>
      <c r="Q68" s="6" t="s">
        <v>32</v>
      </c>
      <c r="R68" s="6" t="s">
        <v>32</v>
      </c>
      <c r="S68" s="6" t="s">
        <v>32</v>
      </c>
      <c r="T68" s="6" t="s">
        <v>32</v>
      </c>
      <c r="U68" s="6" t="s">
        <v>32</v>
      </c>
      <c r="V68" s="1" t="s">
        <v>108</v>
      </c>
    </row>
    <row r="69" spans="1:22" x14ac:dyDescent="0.15">
      <c r="A69" s="1">
        <v>66</v>
      </c>
      <c r="B69" s="2" t="s">
        <v>98</v>
      </c>
      <c r="C69" s="1" t="s">
        <v>103</v>
      </c>
      <c r="D69" s="1" t="s">
        <v>19</v>
      </c>
      <c r="E69" s="6">
        <f>0.19+0</f>
        <v>0.19</v>
      </c>
      <c r="F69" s="6">
        <v>0</v>
      </c>
      <c r="G69" s="6">
        <v>0.08</v>
      </c>
      <c r="H69" s="6" t="s">
        <v>32</v>
      </c>
      <c r="I69" s="6" t="s">
        <v>32</v>
      </c>
      <c r="J69" s="6">
        <v>0.27</v>
      </c>
      <c r="K69" s="6">
        <v>0</v>
      </c>
      <c r="L69" s="6">
        <f>0.08+0.04+0.34</f>
        <v>0.46</v>
      </c>
      <c r="M69" s="6">
        <v>0.05</v>
      </c>
      <c r="N69" s="6">
        <v>0</v>
      </c>
      <c r="O69" s="6">
        <v>0.95</v>
      </c>
      <c r="P69" s="6">
        <v>1180</v>
      </c>
      <c r="Q69" s="6" t="s">
        <v>32</v>
      </c>
      <c r="R69" s="6" t="s">
        <v>32</v>
      </c>
      <c r="S69" s="6" t="s">
        <v>32</v>
      </c>
      <c r="T69" s="6" t="s">
        <v>32</v>
      </c>
      <c r="U69" s="6" t="s">
        <v>32</v>
      </c>
      <c r="V69" s="1" t="s">
        <v>108</v>
      </c>
    </row>
    <row r="70" spans="1:22" x14ac:dyDescent="0.15">
      <c r="A70" s="1">
        <v>67</v>
      </c>
      <c r="B70" s="2" t="s">
        <v>98</v>
      </c>
      <c r="C70" s="1" t="s">
        <v>104</v>
      </c>
      <c r="D70" s="1" t="s">
        <v>19</v>
      </c>
      <c r="E70" s="6">
        <f>0.26+0.26</f>
        <v>0.52</v>
      </c>
      <c r="F70" s="6">
        <v>0.04</v>
      </c>
      <c r="G70" s="6">
        <v>0</v>
      </c>
      <c r="H70" s="6" t="s">
        <v>32</v>
      </c>
      <c r="I70" s="6" t="s">
        <v>32</v>
      </c>
      <c r="J70" s="6">
        <v>0.23</v>
      </c>
      <c r="K70" s="6">
        <v>0</v>
      </c>
      <c r="L70" s="6">
        <f>0.08+0.12</f>
        <v>0.2</v>
      </c>
      <c r="M70" s="6">
        <v>0.05</v>
      </c>
      <c r="N70" s="6">
        <v>0</v>
      </c>
      <c r="O70" s="6">
        <v>0.95</v>
      </c>
      <c r="P70" s="6">
        <v>1130</v>
      </c>
      <c r="Q70" s="6" t="s">
        <v>32</v>
      </c>
      <c r="R70" s="6" t="s">
        <v>32</v>
      </c>
      <c r="S70" s="6" t="s">
        <v>32</v>
      </c>
      <c r="T70" s="6" t="s">
        <v>32</v>
      </c>
      <c r="U70" s="6" t="s">
        <v>32</v>
      </c>
      <c r="V70" s="1" t="s">
        <v>108</v>
      </c>
    </row>
    <row r="71" spans="1:22" x14ac:dyDescent="0.15">
      <c r="A71" s="1">
        <v>68</v>
      </c>
      <c r="B71" s="2" t="s">
        <v>98</v>
      </c>
      <c r="C71" s="1" t="s">
        <v>105</v>
      </c>
      <c r="D71" s="1" t="s">
        <v>19</v>
      </c>
      <c r="E71" s="6">
        <f>0.12+0.08</f>
        <v>0.2</v>
      </c>
      <c r="F71" s="6">
        <v>0.08</v>
      </c>
      <c r="G71" s="6">
        <v>0.2</v>
      </c>
      <c r="H71" s="6" t="s">
        <v>32</v>
      </c>
      <c r="I71" s="6" t="s">
        <v>32</v>
      </c>
      <c r="J71" s="6">
        <v>0.25</v>
      </c>
      <c r="K71" s="6">
        <v>0</v>
      </c>
      <c r="L71" s="6">
        <f>0.04+0.04+0.04+0.16</f>
        <v>0.28000000000000003</v>
      </c>
      <c r="M71" s="6">
        <v>0.01</v>
      </c>
      <c r="N71" s="6">
        <v>0</v>
      </c>
      <c r="O71" s="6">
        <v>0.99</v>
      </c>
      <c r="P71" s="6">
        <v>839</v>
      </c>
      <c r="Q71" s="6" t="s">
        <v>32</v>
      </c>
      <c r="R71" s="6" t="s">
        <v>32</v>
      </c>
      <c r="S71" s="6" t="s">
        <v>32</v>
      </c>
      <c r="T71" s="6" t="s">
        <v>32</v>
      </c>
      <c r="U71" s="6" t="s">
        <v>32</v>
      </c>
      <c r="V71" s="1" t="s">
        <v>108</v>
      </c>
    </row>
    <row r="72" spans="1:22" x14ac:dyDescent="0.15">
      <c r="A72" s="1">
        <v>69</v>
      </c>
      <c r="B72" s="2" t="s">
        <v>98</v>
      </c>
      <c r="C72" s="1" t="s">
        <v>106</v>
      </c>
      <c r="D72" s="1" t="s">
        <v>19</v>
      </c>
      <c r="E72" s="6">
        <f>0.09+0.22</f>
        <v>0.31</v>
      </c>
      <c r="F72" s="6">
        <v>0.04</v>
      </c>
      <c r="G72" s="6">
        <v>0.26</v>
      </c>
      <c r="H72" s="6" t="s">
        <v>32</v>
      </c>
      <c r="I72" s="6" t="s">
        <v>32</v>
      </c>
      <c r="J72" s="6">
        <v>0.05</v>
      </c>
      <c r="K72" s="6">
        <v>0</v>
      </c>
      <c r="L72" s="6">
        <f>0.22+0.04+0.08</f>
        <v>0.34</v>
      </c>
      <c r="M72" s="6">
        <v>0.01</v>
      </c>
      <c r="N72" s="6">
        <v>0</v>
      </c>
      <c r="O72" s="6">
        <v>0.99</v>
      </c>
      <c r="P72" s="6">
        <v>1440</v>
      </c>
      <c r="Q72" s="6" t="s">
        <v>32</v>
      </c>
      <c r="R72" s="6" t="s">
        <v>32</v>
      </c>
      <c r="S72" s="6" t="s">
        <v>32</v>
      </c>
      <c r="T72" s="6" t="s">
        <v>32</v>
      </c>
      <c r="U72" s="6" t="s">
        <v>32</v>
      </c>
      <c r="V72" s="1" t="s">
        <v>108</v>
      </c>
    </row>
    <row r="73" spans="1:22" x14ac:dyDescent="0.15">
      <c r="A73" s="1">
        <v>70</v>
      </c>
      <c r="B73" s="2" t="s">
        <v>98</v>
      </c>
      <c r="C73" s="1" t="s">
        <v>107</v>
      </c>
      <c r="D73" s="1" t="s">
        <v>19</v>
      </c>
      <c r="E73" s="6">
        <f>0.04+0.22</f>
        <v>0.26</v>
      </c>
      <c r="F73" s="6">
        <v>0.04</v>
      </c>
      <c r="G73" s="6">
        <v>0.25</v>
      </c>
      <c r="H73" s="6" t="s">
        <v>32</v>
      </c>
      <c r="I73" s="6" t="s">
        <v>32</v>
      </c>
      <c r="J73" s="6">
        <v>0.04</v>
      </c>
      <c r="K73" s="6">
        <v>0</v>
      </c>
      <c r="L73" s="6">
        <f>0.19+0.07+0+0.15</f>
        <v>0.41000000000000003</v>
      </c>
      <c r="M73" s="6">
        <v>0.01</v>
      </c>
      <c r="N73" s="6">
        <v>0</v>
      </c>
      <c r="O73" s="6">
        <v>0.99</v>
      </c>
      <c r="P73" s="6">
        <v>940</v>
      </c>
      <c r="Q73" s="6" t="s">
        <v>32</v>
      </c>
      <c r="R73" s="6" t="s">
        <v>32</v>
      </c>
      <c r="S73" s="6" t="s">
        <v>32</v>
      </c>
      <c r="T73" s="6" t="s">
        <v>32</v>
      </c>
      <c r="U73" s="6" t="s">
        <v>32</v>
      </c>
      <c r="V73" s="1" t="s">
        <v>108</v>
      </c>
    </row>
    <row r="74" spans="1:22" x14ac:dyDescent="0.15">
      <c r="A74" s="1">
        <v>71</v>
      </c>
      <c r="B74" s="2" t="s">
        <v>110</v>
      </c>
      <c r="C74" s="1" t="s">
        <v>111</v>
      </c>
      <c r="D74" s="1" t="s">
        <v>19</v>
      </c>
      <c r="E74" s="6">
        <f>0.56+0.08</f>
        <v>0.64</v>
      </c>
      <c r="F74" s="6">
        <v>0.12</v>
      </c>
      <c r="G74" s="6">
        <v>0.08</v>
      </c>
      <c r="H74" s="6">
        <v>0</v>
      </c>
      <c r="I74" s="6">
        <v>0.08</v>
      </c>
      <c r="J74" s="6" t="s">
        <v>32</v>
      </c>
      <c r="K74" s="6" t="s">
        <v>32</v>
      </c>
      <c r="L74" s="6">
        <v>0.08</v>
      </c>
      <c r="M74" s="6">
        <v>0.88</v>
      </c>
      <c r="N74" s="6">
        <v>0.04</v>
      </c>
      <c r="O74" s="6">
        <v>0.08</v>
      </c>
      <c r="P74" s="6">
        <v>1693</v>
      </c>
      <c r="Q74" s="6">
        <v>1373</v>
      </c>
      <c r="R74" s="6">
        <v>1004</v>
      </c>
      <c r="S74" s="6">
        <v>755</v>
      </c>
      <c r="T74" s="6" t="s">
        <v>32</v>
      </c>
      <c r="U74" s="6" t="s">
        <v>32</v>
      </c>
      <c r="V74" s="1" t="s">
        <v>117</v>
      </c>
    </row>
    <row r="75" spans="1:22" x14ac:dyDescent="0.15">
      <c r="A75" s="1">
        <v>72</v>
      </c>
      <c r="B75" s="2" t="s">
        <v>110</v>
      </c>
      <c r="C75" s="1" t="s">
        <v>112</v>
      </c>
      <c r="D75" s="1" t="s">
        <v>19</v>
      </c>
      <c r="E75" s="6">
        <f>0.37+0.17</f>
        <v>0.54</v>
      </c>
      <c r="F75" s="6">
        <v>0.06</v>
      </c>
      <c r="G75" s="6">
        <v>0.27</v>
      </c>
      <c r="H75" s="6">
        <v>0</v>
      </c>
      <c r="I75" s="6">
        <v>0</v>
      </c>
      <c r="J75" s="6">
        <v>0.02</v>
      </c>
      <c r="K75" s="6">
        <v>0</v>
      </c>
      <c r="L75" s="6">
        <f>0.02+0.02+0.06+0.02</f>
        <v>0.12000000000000001</v>
      </c>
      <c r="M75" s="6">
        <v>0.6</v>
      </c>
      <c r="N75" s="6">
        <v>0.28999999999999998</v>
      </c>
      <c r="O75" s="6">
        <v>0.12</v>
      </c>
      <c r="P75" s="6">
        <v>1548</v>
      </c>
      <c r="Q75" s="6">
        <v>1038</v>
      </c>
      <c r="R75" s="6">
        <v>722.5</v>
      </c>
      <c r="S75" s="6">
        <v>592</v>
      </c>
      <c r="T75" s="6" t="s">
        <v>32</v>
      </c>
      <c r="U75" s="6" t="s">
        <v>32</v>
      </c>
      <c r="V75" s="1" t="s">
        <v>117</v>
      </c>
    </row>
    <row r="76" spans="1:22" x14ac:dyDescent="0.15">
      <c r="A76" s="1">
        <v>73</v>
      </c>
      <c r="B76" s="2" t="s">
        <v>110</v>
      </c>
      <c r="C76" s="1" t="s">
        <v>113</v>
      </c>
      <c r="D76" s="1" t="s">
        <v>19</v>
      </c>
      <c r="E76" s="6">
        <f>0.38+0.15</f>
        <v>0.53</v>
      </c>
      <c r="F76" s="6">
        <v>0.12</v>
      </c>
      <c r="G76" s="6">
        <v>0.28999999999999998</v>
      </c>
      <c r="H76" s="6">
        <v>0.06</v>
      </c>
      <c r="I76" s="6">
        <v>0</v>
      </c>
      <c r="J76" s="6">
        <v>0</v>
      </c>
      <c r="K76" s="6">
        <v>0</v>
      </c>
      <c r="L76" s="6">
        <v>0</v>
      </c>
      <c r="M76" s="6">
        <v>0.47</v>
      </c>
      <c r="N76" s="6">
        <v>0.28999999999999998</v>
      </c>
      <c r="O76" s="6">
        <v>0.24</v>
      </c>
      <c r="P76" s="6">
        <v>834.1</v>
      </c>
      <c r="Q76" s="6">
        <v>680.5</v>
      </c>
      <c r="R76" s="6">
        <v>279.7</v>
      </c>
      <c r="S76" s="6">
        <v>207</v>
      </c>
      <c r="T76" s="6" t="s">
        <v>32</v>
      </c>
      <c r="U76" s="6" t="s">
        <v>32</v>
      </c>
      <c r="V76" s="1" t="s">
        <v>117</v>
      </c>
    </row>
    <row r="77" spans="1:22" x14ac:dyDescent="0.15">
      <c r="A77" s="1">
        <v>74</v>
      </c>
      <c r="B77" s="2" t="s">
        <v>110</v>
      </c>
      <c r="C77" s="1" t="s">
        <v>114</v>
      </c>
      <c r="D77" s="1" t="s">
        <v>19</v>
      </c>
      <c r="E77" s="6">
        <f>0.57+0.14</f>
        <v>0.71</v>
      </c>
      <c r="F77" s="6">
        <v>0.14000000000000001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0.14000000000000001</v>
      </c>
      <c r="M77" s="6">
        <v>0.86</v>
      </c>
      <c r="N77" s="6">
        <v>0.14000000000000001</v>
      </c>
      <c r="O77" s="6">
        <v>0</v>
      </c>
      <c r="P77" s="6">
        <v>1859</v>
      </c>
      <c r="Q77" s="6">
        <v>1355</v>
      </c>
      <c r="R77" s="6">
        <v>1003.1</v>
      </c>
      <c r="S77" s="6">
        <v>919</v>
      </c>
      <c r="T77" s="6" t="s">
        <v>32</v>
      </c>
      <c r="U77" s="6" t="s">
        <v>32</v>
      </c>
      <c r="V77" s="1" t="s">
        <v>117</v>
      </c>
    </row>
    <row r="78" spans="1:22" x14ac:dyDescent="0.15">
      <c r="A78" s="1">
        <v>75</v>
      </c>
      <c r="B78" s="2" t="s">
        <v>110</v>
      </c>
      <c r="C78" s="1" t="s">
        <v>115</v>
      </c>
      <c r="D78" s="1" t="s">
        <v>19</v>
      </c>
      <c r="E78" s="6">
        <v>0.15</v>
      </c>
      <c r="F78" s="6">
        <v>0</v>
      </c>
      <c r="G78" s="6">
        <v>0.69</v>
      </c>
      <c r="H78" s="6">
        <v>0</v>
      </c>
      <c r="I78" s="6">
        <v>0</v>
      </c>
      <c r="J78" s="6">
        <v>0.08</v>
      </c>
      <c r="K78" s="6">
        <v>0</v>
      </c>
      <c r="L78" s="6">
        <v>0.08</v>
      </c>
      <c r="M78" s="6">
        <v>0.23</v>
      </c>
      <c r="N78" s="6">
        <v>0.77</v>
      </c>
      <c r="O78" s="6">
        <v>0</v>
      </c>
      <c r="P78" s="6">
        <v>912.5</v>
      </c>
      <c r="Q78" s="6">
        <v>786</v>
      </c>
      <c r="R78" s="6">
        <v>755.8</v>
      </c>
      <c r="S78" s="6">
        <v>666</v>
      </c>
      <c r="T78" s="6" t="s">
        <v>32</v>
      </c>
      <c r="U78" s="6" t="s">
        <v>32</v>
      </c>
      <c r="V78" s="1" t="s">
        <v>117</v>
      </c>
    </row>
    <row r="79" spans="1:22" x14ac:dyDescent="0.15">
      <c r="A79" s="1">
        <v>76</v>
      </c>
      <c r="B79" s="2" t="s">
        <v>110</v>
      </c>
      <c r="C79" s="1" t="s">
        <v>116</v>
      </c>
      <c r="D79" s="1" t="s">
        <v>19</v>
      </c>
      <c r="E79" s="6">
        <v>0.25</v>
      </c>
      <c r="F79" s="6">
        <v>0</v>
      </c>
      <c r="G79" s="6">
        <v>0.13</v>
      </c>
      <c r="H79" s="6">
        <v>0</v>
      </c>
      <c r="I79" s="6">
        <v>0</v>
      </c>
      <c r="J79" s="6">
        <v>0</v>
      </c>
      <c r="K79" s="6">
        <v>0</v>
      </c>
      <c r="L79" s="6">
        <v>0.63</v>
      </c>
      <c r="M79" s="6">
        <v>0.25</v>
      </c>
      <c r="N79" s="6">
        <v>0.75</v>
      </c>
      <c r="O79" s="6">
        <v>0</v>
      </c>
      <c r="P79" s="6">
        <v>755.9</v>
      </c>
      <c r="Q79" s="6">
        <v>705</v>
      </c>
      <c r="R79" s="6">
        <v>668.4</v>
      </c>
      <c r="S79" s="6">
        <v>658.5</v>
      </c>
      <c r="T79" s="6" t="s">
        <v>32</v>
      </c>
      <c r="U79" s="6" t="s">
        <v>32</v>
      </c>
      <c r="V79" s="1" t="s">
        <v>117</v>
      </c>
    </row>
    <row r="80" spans="1:22" x14ac:dyDescent="0.15">
      <c r="A80" s="1">
        <v>77</v>
      </c>
      <c r="B80" s="1" t="s">
        <v>119</v>
      </c>
      <c r="C80" s="1" t="s">
        <v>118</v>
      </c>
      <c r="D80" s="1" t="s">
        <v>19</v>
      </c>
      <c r="E80" s="6">
        <f>0.24+0.05</f>
        <v>0.28999999999999998</v>
      </c>
      <c r="F80" s="6">
        <v>0.17</v>
      </c>
      <c r="G80" s="6">
        <v>0.37</v>
      </c>
      <c r="H80" s="6" t="s">
        <v>32</v>
      </c>
      <c r="I80" s="6" t="s">
        <v>32</v>
      </c>
      <c r="J80" s="6">
        <v>0.02</v>
      </c>
      <c r="K80" s="6" t="s">
        <v>32</v>
      </c>
      <c r="L80" s="6">
        <f>0.14+0.02</f>
        <v>0.16</v>
      </c>
      <c r="M80" s="6">
        <v>0.51</v>
      </c>
      <c r="N80" s="6">
        <v>0.33</v>
      </c>
      <c r="O80" s="6">
        <v>0.16</v>
      </c>
      <c r="P80" s="6" t="s">
        <v>32</v>
      </c>
      <c r="Q80" s="6" t="s">
        <v>32</v>
      </c>
      <c r="R80" s="6" t="s">
        <v>32</v>
      </c>
      <c r="S80" s="6" t="s">
        <v>32</v>
      </c>
      <c r="T80" s="6" t="s">
        <v>32</v>
      </c>
      <c r="U80" s="6" t="s">
        <v>32</v>
      </c>
      <c r="V80" s="1" t="s">
        <v>120</v>
      </c>
    </row>
    <row r="81" spans="1:22" x14ac:dyDescent="0.15">
      <c r="A81" s="1">
        <v>78</v>
      </c>
      <c r="B81" s="1" t="s">
        <v>121</v>
      </c>
      <c r="C81" s="1" t="s">
        <v>122</v>
      </c>
      <c r="D81" s="1" t="s">
        <v>19</v>
      </c>
      <c r="E81" s="6">
        <f>0.02+0.22+0.27</f>
        <v>0.51</v>
      </c>
      <c r="F81" s="6">
        <v>0.08</v>
      </c>
      <c r="G81" s="6">
        <v>0</v>
      </c>
      <c r="H81" s="6">
        <v>0.1</v>
      </c>
      <c r="I81" s="6">
        <v>0.02</v>
      </c>
      <c r="J81" s="6">
        <f>0.05+0.02</f>
        <v>7.0000000000000007E-2</v>
      </c>
      <c r="K81" s="6">
        <v>0</v>
      </c>
      <c r="L81" s="6">
        <v>0.24000000000000002</v>
      </c>
      <c r="M81" s="6">
        <v>0.56999999999999995</v>
      </c>
      <c r="N81" s="6">
        <v>0</v>
      </c>
      <c r="O81" s="6">
        <v>0.43</v>
      </c>
      <c r="P81" s="6" t="s">
        <v>32</v>
      </c>
      <c r="Q81" s="6" t="s">
        <v>32</v>
      </c>
      <c r="R81" s="6" t="s">
        <v>32</v>
      </c>
      <c r="S81" s="6" t="s">
        <v>32</v>
      </c>
      <c r="T81" s="6" t="s">
        <v>32</v>
      </c>
      <c r="U81" s="6" t="s">
        <v>32</v>
      </c>
      <c r="V81" s="1" t="s">
        <v>123</v>
      </c>
    </row>
    <row r="82" spans="1:22" x14ac:dyDescent="0.15">
      <c r="A82" s="1">
        <v>79</v>
      </c>
      <c r="B82" s="1" t="s">
        <v>125</v>
      </c>
      <c r="C82" s="1" t="s">
        <v>124</v>
      </c>
      <c r="D82" s="1" t="s">
        <v>19</v>
      </c>
      <c r="E82" s="6">
        <v>0.36</v>
      </c>
      <c r="F82" s="6">
        <v>0.31</v>
      </c>
      <c r="G82" s="6">
        <v>0.25</v>
      </c>
      <c r="H82" s="6" t="s">
        <v>32</v>
      </c>
      <c r="I82" s="6" t="s">
        <v>32</v>
      </c>
      <c r="J82" s="6">
        <v>0.02</v>
      </c>
      <c r="K82" s="6" t="s">
        <v>32</v>
      </c>
      <c r="L82" s="6">
        <v>0.06</v>
      </c>
      <c r="M82" s="6">
        <v>0.41</v>
      </c>
      <c r="N82" s="6">
        <v>0</v>
      </c>
      <c r="O82" s="6">
        <v>0.59</v>
      </c>
      <c r="P82" s="6">
        <v>411.3</v>
      </c>
      <c r="Q82" s="6" t="s">
        <v>32</v>
      </c>
      <c r="R82" s="6" t="s">
        <v>32</v>
      </c>
      <c r="S82" s="6" t="s">
        <v>32</v>
      </c>
      <c r="T82" s="6" t="s">
        <v>32</v>
      </c>
      <c r="U82" s="6" t="s">
        <v>32</v>
      </c>
      <c r="V82" s="1" t="s">
        <v>126</v>
      </c>
    </row>
    <row r="83" spans="1:22" x14ac:dyDescent="0.15">
      <c r="A83" s="1">
        <v>80</v>
      </c>
      <c r="B83" s="1" t="s">
        <v>135</v>
      </c>
      <c r="C83" s="1" t="s">
        <v>127</v>
      </c>
      <c r="D83" s="1" t="s">
        <v>19</v>
      </c>
      <c r="E83" s="6">
        <v>0.38</v>
      </c>
      <c r="F83" s="6">
        <v>0.08</v>
      </c>
      <c r="G83" s="6">
        <v>0.31</v>
      </c>
      <c r="H83" s="6">
        <v>0.16</v>
      </c>
      <c r="I83" s="6" t="s">
        <v>32</v>
      </c>
      <c r="J83" s="6" t="s">
        <v>32</v>
      </c>
      <c r="K83" s="6" t="s">
        <v>32</v>
      </c>
      <c r="L83" s="6" t="s">
        <v>32</v>
      </c>
      <c r="M83" s="6">
        <f>0.13+0.06</f>
        <v>0.19</v>
      </c>
      <c r="N83" s="6">
        <v>0.02</v>
      </c>
      <c r="O83" s="6">
        <v>0.79</v>
      </c>
      <c r="P83" s="6">
        <v>625</v>
      </c>
      <c r="Q83" s="6" t="s">
        <v>32</v>
      </c>
      <c r="R83" s="6" t="s">
        <v>32</v>
      </c>
      <c r="S83" s="6" t="s">
        <v>32</v>
      </c>
      <c r="T83" s="6" t="s">
        <v>32</v>
      </c>
      <c r="U83" s="6" t="s">
        <v>32</v>
      </c>
      <c r="V83" s="1" t="s">
        <v>136</v>
      </c>
    </row>
    <row r="84" spans="1:22" x14ac:dyDescent="0.15">
      <c r="A84" s="1">
        <v>81</v>
      </c>
      <c r="B84" s="1" t="s">
        <v>135</v>
      </c>
      <c r="C84" s="1" t="s">
        <v>128</v>
      </c>
      <c r="D84" s="1" t="s">
        <v>19</v>
      </c>
      <c r="E84" s="6">
        <v>0.44</v>
      </c>
      <c r="F84" s="6">
        <v>0.1</v>
      </c>
      <c r="G84" s="6">
        <v>0.23</v>
      </c>
      <c r="H84" s="6">
        <v>0.22</v>
      </c>
      <c r="I84" s="6" t="s">
        <v>32</v>
      </c>
      <c r="J84" s="6" t="s">
        <v>32</v>
      </c>
      <c r="K84" s="6" t="s">
        <v>32</v>
      </c>
      <c r="L84" s="6" t="s">
        <v>32</v>
      </c>
      <c r="M84" s="6">
        <f>0.22+0.04</f>
        <v>0.26</v>
      </c>
      <c r="N84" s="6">
        <v>0</v>
      </c>
      <c r="O84" s="6">
        <v>0.74</v>
      </c>
      <c r="P84" s="6">
        <v>578</v>
      </c>
      <c r="Q84" s="6" t="s">
        <v>32</v>
      </c>
      <c r="R84" s="6" t="s">
        <v>32</v>
      </c>
      <c r="S84" s="6" t="s">
        <v>32</v>
      </c>
      <c r="T84" s="6" t="s">
        <v>32</v>
      </c>
      <c r="U84" s="6" t="s">
        <v>32</v>
      </c>
      <c r="V84" s="1" t="s">
        <v>136</v>
      </c>
    </row>
    <row r="85" spans="1:22" x14ac:dyDescent="0.15">
      <c r="A85" s="1">
        <v>82</v>
      </c>
      <c r="B85" s="1" t="s">
        <v>135</v>
      </c>
      <c r="C85" s="1" t="s">
        <v>129</v>
      </c>
      <c r="D85" s="1" t="s">
        <v>19</v>
      </c>
      <c r="E85" s="6">
        <v>0.08</v>
      </c>
      <c r="F85" s="6">
        <v>0.41</v>
      </c>
      <c r="G85" s="6">
        <v>0.17</v>
      </c>
      <c r="H85" s="6">
        <v>0.25</v>
      </c>
      <c r="I85" s="6" t="s">
        <v>32</v>
      </c>
      <c r="J85" s="6" t="s">
        <v>32</v>
      </c>
      <c r="K85" s="6" t="s">
        <v>32</v>
      </c>
      <c r="L85" s="6" t="s">
        <v>32</v>
      </c>
      <c r="M85" s="6">
        <v>0.2</v>
      </c>
      <c r="N85" s="6">
        <v>0</v>
      </c>
      <c r="O85" s="6">
        <v>0.8</v>
      </c>
      <c r="P85" s="6">
        <v>587</v>
      </c>
      <c r="Q85" s="6" t="s">
        <v>32</v>
      </c>
      <c r="R85" s="6" t="s">
        <v>32</v>
      </c>
      <c r="S85" s="6" t="s">
        <v>32</v>
      </c>
      <c r="T85" s="6" t="s">
        <v>32</v>
      </c>
      <c r="U85" s="6" t="s">
        <v>32</v>
      </c>
      <c r="V85" s="1" t="s">
        <v>136</v>
      </c>
    </row>
    <row r="86" spans="1:22" x14ac:dyDescent="0.15">
      <c r="A86" s="1">
        <v>83</v>
      </c>
      <c r="B86" s="1" t="s">
        <v>135</v>
      </c>
      <c r="C86" s="1" t="s">
        <v>130</v>
      </c>
      <c r="D86" s="1" t="s">
        <v>19</v>
      </c>
      <c r="E86" s="6">
        <v>0</v>
      </c>
      <c r="F86" s="6">
        <v>0.74</v>
      </c>
      <c r="G86" s="6">
        <v>0.13</v>
      </c>
      <c r="H86" s="6">
        <v>0.13</v>
      </c>
      <c r="I86" s="6" t="s">
        <v>32</v>
      </c>
      <c r="J86" s="6" t="s">
        <v>32</v>
      </c>
      <c r="K86" s="6" t="s">
        <v>32</v>
      </c>
      <c r="L86" s="6" t="s">
        <v>32</v>
      </c>
      <c r="M86" s="6">
        <v>0.05</v>
      </c>
      <c r="N86" s="6">
        <v>0</v>
      </c>
      <c r="O86" s="6">
        <v>0.95</v>
      </c>
      <c r="P86" s="6">
        <v>326</v>
      </c>
      <c r="Q86" s="6" t="s">
        <v>32</v>
      </c>
      <c r="R86" s="6" t="s">
        <v>32</v>
      </c>
      <c r="S86" s="6" t="s">
        <v>32</v>
      </c>
      <c r="T86" s="6" t="s">
        <v>32</v>
      </c>
      <c r="U86" s="6" t="s">
        <v>32</v>
      </c>
      <c r="V86" s="1" t="s">
        <v>136</v>
      </c>
    </row>
    <row r="87" spans="1:22" x14ac:dyDescent="0.15">
      <c r="A87" s="1">
        <v>84</v>
      </c>
      <c r="B87" s="1" t="s">
        <v>135</v>
      </c>
      <c r="C87" s="1" t="s">
        <v>131</v>
      </c>
      <c r="D87" s="1" t="s">
        <v>19</v>
      </c>
      <c r="E87" s="6">
        <f>0.07+0.36</f>
        <v>0.43</v>
      </c>
      <c r="F87" s="6">
        <v>0.06</v>
      </c>
      <c r="G87" s="6">
        <v>0.27</v>
      </c>
      <c r="H87" s="6">
        <v>0.17</v>
      </c>
      <c r="I87" s="6" t="s">
        <v>32</v>
      </c>
      <c r="J87" s="6" t="s">
        <v>32</v>
      </c>
      <c r="K87" s="6" t="s">
        <v>32</v>
      </c>
      <c r="L87" s="6" t="s">
        <v>32</v>
      </c>
      <c r="M87" s="6">
        <v>0.14000000000000001</v>
      </c>
      <c r="N87" s="6">
        <v>0.01</v>
      </c>
      <c r="O87" s="6">
        <v>0.85</v>
      </c>
      <c r="P87" s="6">
        <v>522</v>
      </c>
      <c r="Q87" s="6" t="s">
        <v>32</v>
      </c>
      <c r="R87" s="6" t="s">
        <v>32</v>
      </c>
      <c r="S87" s="6" t="s">
        <v>32</v>
      </c>
      <c r="T87" s="6" t="s">
        <v>32</v>
      </c>
      <c r="U87" s="6" t="s">
        <v>32</v>
      </c>
      <c r="V87" s="1" t="s">
        <v>136</v>
      </c>
    </row>
    <row r="88" spans="1:22" x14ac:dyDescent="0.15">
      <c r="A88" s="1">
        <v>85</v>
      </c>
      <c r="B88" s="1" t="s">
        <v>135</v>
      </c>
      <c r="C88" s="1" t="s">
        <v>132</v>
      </c>
      <c r="D88" s="1" t="s">
        <v>19</v>
      </c>
      <c r="E88" s="6">
        <f>0.39+0.17</f>
        <v>0.56000000000000005</v>
      </c>
      <c r="F88" s="6">
        <v>0.05</v>
      </c>
      <c r="G88" s="6">
        <v>0.22</v>
      </c>
      <c r="H88" s="6">
        <v>0.11</v>
      </c>
      <c r="I88" s="6" t="s">
        <v>32</v>
      </c>
      <c r="J88" s="6" t="s">
        <v>32</v>
      </c>
      <c r="K88" s="6" t="s">
        <v>32</v>
      </c>
      <c r="L88" s="6" t="s">
        <v>32</v>
      </c>
      <c r="M88" s="6">
        <v>0.11</v>
      </c>
      <c r="N88" s="6">
        <v>0.01</v>
      </c>
      <c r="O88" s="6">
        <v>0.88</v>
      </c>
      <c r="P88" s="6">
        <v>733</v>
      </c>
      <c r="Q88" s="6" t="s">
        <v>32</v>
      </c>
      <c r="R88" s="6" t="s">
        <v>32</v>
      </c>
      <c r="S88" s="6" t="s">
        <v>32</v>
      </c>
      <c r="T88" s="6" t="s">
        <v>32</v>
      </c>
      <c r="U88" s="6" t="s">
        <v>32</v>
      </c>
      <c r="V88" s="1" t="s">
        <v>136</v>
      </c>
    </row>
    <row r="89" spans="1:22" x14ac:dyDescent="0.15">
      <c r="A89" s="1">
        <v>86</v>
      </c>
      <c r="B89" s="1" t="s">
        <v>135</v>
      </c>
      <c r="C89" s="1" t="s">
        <v>133</v>
      </c>
      <c r="D89" s="1" t="s">
        <v>19</v>
      </c>
      <c r="E89" s="6">
        <f>0.27+0.09</f>
        <v>0.36</v>
      </c>
      <c r="F89" s="6">
        <v>0.27</v>
      </c>
      <c r="G89" s="6">
        <v>0.27</v>
      </c>
      <c r="H89" s="6">
        <v>0.09</v>
      </c>
      <c r="I89" s="6" t="s">
        <v>32</v>
      </c>
      <c r="J89" s="6" t="s">
        <v>32</v>
      </c>
      <c r="K89" s="6" t="s">
        <v>32</v>
      </c>
      <c r="L89" s="6" t="s">
        <v>32</v>
      </c>
      <c r="M89" s="6">
        <v>0.11</v>
      </c>
      <c r="N89" s="6">
        <v>0.01</v>
      </c>
      <c r="O89" s="6">
        <v>0.88</v>
      </c>
      <c r="P89" s="6">
        <v>695</v>
      </c>
      <c r="Q89" s="6" t="s">
        <v>32</v>
      </c>
      <c r="R89" s="6" t="s">
        <v>32</v>
      </c>
      <c r="S89" s="6" t="s">
        <v>32</v>
      </c>
      <c r="T89" s="6" t="s">
        <v>32</v>
      </c>
      <c r="U89" s="6" t="s">
        <v>32</v>
      </c>
      <c r="V89" s="1" t="s">
        <v>136</v>
      </c>
    </row>
    <row r="90" spans="1:22" x14ac:dyDescent="0.15">
      <c r="A90" s="1">
        <v>87</v>
      </c>
      <c r="B90" s="1" t="s">
        <v>135</v>
      </c>
      <c r="C90" s="1" t="s">
        <v>134</v>
      </c>
      <c r="D90" s="1" t="s">
        <v>19</v>
      </c>
      <c r="E90" s="6">
        <v>0.22</v>
      </c>
      <c r="F90" s="6">
        <v>0.56999999999999995</v>
      </c>
      <c r="G90" s="6">
        <v>0</v>
      </c>
      <c r="H90" s="6">
        <v>0.12</v>
      </c>
      <c r="I90" s="6" t="s">
        <v>32</v>
      </c>
      <c r="J90" s="6" t="s">
        <v>32</v>
      </c>
      <c r="K90" s="6" t="s">
        <v>32</v>
      </c>
      <c r="L90" s="6" t="s">
        <v>32</v>
      </c>
      <c r="M90" s="6">
        <v>7.0000000000000007E-2</v>
      </c>
      <c r="N90" s="6">
        <v>0</v>
      </c>
      <c r="O90" s="6">
        <v>0.93</v>
      </c>
      <c r="P90" s="6">
        <v>509</v>
      </c>
      <c r="Q90" s="6" t="s">
        <v>32</v>
      </c>
      <c r="R90" s="6" t="s">
        <v>32</v>
      </c>
      <c r="S90" s="6" t="s">
        <v>32</v>
      </c>
      <c r="T90" s="6" t="s">
        <v>32</v>
      </c>
      <c r="U90" s="6" t="s">
        <v>32</v>
      </c>
      <c r="V90" s="1" t="s">
        <v>136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Mair, Magdalena</dc:creator>
  <cp:lastModifiedBy>Mair, Magdalena</cp:lastModifiedBy>
  <dcterms:created xsi:type="dcterms:W3CDTF">2024-05-29T08:11:33Z</dcterms:created>
  <dcterms:modified xsi:type="dcterms:W3CDTF">2025-06-04T08:37:47Z</dcterms:modified>
</cp:coreProperties>
</file>